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0b1804a6edce4a/Desktop/"/>
    </mc:Choice>
  </mc:AlternateContent>
  <xr:revisionPtr revIDLastSave="0" documentId="8_{68B47981-9967-4257-8AD2-47782F232A56}" xr6:coauthVersionLast="36" xr6:coauthVersionMax="36" xr10:uidLastSave="{00000000-0000-0000-0000-000000000000}"/>
  <bookViews>
    <workbookView xWindow="0" yWindow="0" windowWidth="23040" windowHeight="8940" activeTab="2" xr2:uid="{EE92339D-D6D5-4749-8B83-88C8A09A54B8}"/>
  </bookViews>
  <sheets>
    <sheet name="wages" sheetId="1" r:id="rId1"/>
    <sheet name="pt" sheetId="2" r:id="rId2"/>
    <sheet name="lwf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3" l="1"/>
  <c r="J17" i="3" s="1"/>
  <c r="G17" i="3"/>
  <c r="I17" i="3" s="1"/>
  <c r="H13" i="3"/>
  <c r="J13" i="3" s="1"/>
  <c r="G13" i="3"/>
  <c r="I13" i="3" s="1"/>
  <c r="H12" i="3"/>
  <c r="J12" i="3" s="1"/>
  <c r="G12" i="3"/>
  <c r="I12" i="3" s="1"/>
  <c r="H11" i="3"/>
  <c r="J11" i="3" s="1"/>
  <c r="G11" i="3"/>
  <c r="I11" i="3" s="1"/>
  <c r="H7" i="3"/>
  <c r="J7" i="3" s="1"/>
  <c r="G7" i="3"/>
  <c r="I7" i="3" s="1"/>
  <c r="H6" i="3"/>
  <c r="J6" i="3" s="1"/>
  <c r="G6" i="3"/>
  <c r="I6" i="3" s="1"/>
  <c r="H5" i="3"/>
  <c r="J5" i="3" s="1"/>
  <c r="G5" i="3"/>
  <c r="I5" i="3" s="1"/>
  <c r="H4" i="3"/>
  <c r="J4" i="3" s="1"/>
  <c r="G4" i="3"/>
  <c r="I4" i="3" s="1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J98" i="2"/>
  <c r="I98" i="2"/>
  <c r="J90" i="2"/>
  <c r="I90" i="2"/>
  <c r="J89" i="2"/>
  <c r="I89" i="2"/>
  <c r="J88" i="2"/>
  <c r="I88" i="2"/>
  <c r="J87" i="2"/>
  <c r="I87" i="2"/>
  <c r="J86" i="2"/>
  <c r="I86" i="2"/>
  <c r="I85" i="2"/>
  <c r="D50" i="2"/>
  <c r="D49" i="2"/>
  <c r="I37" i="1"/>
  <c r="G37" i="1"/>
  <c r="E37" i="1"/>
  <c r="C37" i="1"/>
  <c r="I36" i="1"/>
  <c r="G36" i="1"/>
  <c r="E36" i="1"/>
  <c r="C36" i="1"/>
  <c r="I35" i="1"/>
  <c r="G35" i="1"/>
  <c r="E35" i="1"/>
  <c r="C35" i="1"/>
  <c r="G34" i="1"/>
  <c r="E34" i="1"/>
  <c r="C34" i="1"/>
  <c r="I33" i="1"/>
  <c r="G33" i="1"/>
  <c r="E33" i="1"/>
  <c r="C33" i="1"/>
  <c r="I32" i="1"/>
  <c r="G32" i="1"/>
  <c r="E32" i="1"/>
  <c r="C32" i="1"/>
  <c r="J31" i="1"/>
  <c r="H31" i="1"/>
  <c r="F31" i="1"/>
  <c r="D31" i="1"/>
  <c r="I29" i="1"/>
  <c r="G29" i="1"/>
  <c r="E29" i="1"/>
  <c r="C29" i="1"/>
  <c r="I28" i="1"/>
  <c r="G28" i="1"/>
  <c r="E28" i="1"/>
  <c r="C28" i="1"/>
  <c r="I27" i="1"/>
  <c r="G27" i="1"/>
  <c r="E27" i="1"/>
  <c r="I26" i="1"/>
  <c r="G26" i="1"/>
  <c r="E26" i="1"/>
  <c r="C26" i="1"/>
  <c r="I24" i="1"/>
  <c r="G24" i="1"/>
  <c r="E24" i="1"/>
  <c r="C24" i="1"/>
  <c r="I23" i="1"/>
  <c r="G23" i="1"/>
  <c r="E23" i="1"/>
  <c r="C23" i="1"/>
  <c r="I22" i="1"/>
  <c r="G22" i="1"/>
  <c r="E22" i="1"/>
  <c r="C22" i="1"/>
  <c r="I21" i="1"/>
  <c r="G21" i="1"/>
  <c r="E21" i="1"/>
  <c r="C21" i="1"/>
  <c r="I20" i="1"/>
  <c r="G20" i="1"/>
  <c r="E20" i="1"/>
  <c r="C20" i="1"/>
  <c r="I19" i="1"/>
  <c r="G19" i="1"/>
  <c r="E19" i="1"/>
  <c r="C19" i="1"/>
  <c r="I18" i="1"/>
  <c r="G18" i="1"/>
  <c r="E18" i="1"/>
  <c r="C18" i="1"/>
  <c r="J17" i="1"/>
  <c r="H17" i="1"/>
  <c r="F17" i="1"/>
  <c r="D17" i="1"/>
  <c r="I16" i="1"/>
  <c r="G16" i="1"/>
  <c r="E16" i="1"/>
  <c r="C16" i="1"/>
  <c r="I15" i="1"/>
  <c r="G15" i="1"/>
  <c r="E15" i="1"/>
  <c r="C15" i="1"/>
  <c r="I14" i="1"/>
  <c r="G14" i="1"/>
  <c r="E14" i="1"/>
  <c r="C14" i="1"/>
  <c r="G13" i="1"/>
  <c r="E13" i="1"/>
  <c r="C13" i="1"/>
  <c r="I12" i="1"/>
  <c r="G12" i="1"/>
  <c r="E12" i="1"/>
  <c r="C12" i="1"/>
  <c r="I11" i="1"/>
  <c r="G11" i="1"/>
  <c r="E11" i="1"/>
  <c r="C11" i="1"/>
  <c r="I10" i="1"/>
  <c r="I9" i="1"/>
  <c r="G9" i="1"/>
  <c r="E9" i="1"/>
  <c r="C9" i="1"/>
  <c r="I8" i="1"/>
  <c r="G8" i="1"/>
  <c r="E8" i="1"/>
  <c r="C8" i="1"/>
  <c r="I7" i="1"/>
  <c r="G7" i="1"/>
  <c r="E7" i="1"/>
  <c r="C7" i="1"/>
  <c r="I6" i="1"/>
  <c r="G6" i="1"/>
  <c r="E6" i="1"/>
  <c r="C6" i="1"/>
  <c r="I5" i="1"/>
  <c r="G5" i="1"/>
  <c r="E5" i="1"/>
  <c r="C5" i="1"/>
  <c r="I4" i="1"/>
  <c r="G4" i="1"/>
  <c r="E4" i="1"/>
  <c r="C4" i="1"/>
  <c r="I3" i="1"/>
  <c r="G3" i="1"/>
  <c r="E3" i="1"/>
  <c r="C3" i="1"/>
</calcChain>
</file>

<file path=xl/sharedStrings.xml><?xml version="1.0" encoding="utf-8"?>
<sst xmlns="http://schemas.openxmlformats.org/spreadsheetml/2006/main" count="701" uniqueCount="141">
  <si>
    <t>Sr.No.</t>
  </si>
  <si>
    <t>Location</t>
  </si>
  <si>
    <t>Unskilled</t>
  </si>
  <si>
    <t>Semi Skilled</t>
  </si>
  <si>
    <t>Skilled</t>
  </si>
  <si>
    <t>Highly Skilled</t>
  </si>
  <si>
    <t>W.E.F.</t>
  </si>
  <si>
    <t>Remarks</t>
  </si>
  <si>
    <t>State</t>
  </si>
  <si>
    <t>Daily</t>
  </si>
  <si>
    <t>Monthly</t>
  </si>
  <si>
    <t>DATE</t>
  </si>
  <si>
    <t>Andaman &amp; Nicobar Islands</t>
  </si>
  <si>
    <t>FROM 01/07/2024</t>
  </si>
  <si>
    <t>Andhra Pradesh</t>
  </si>
  <si>
    <t>FROM 01/04/2024</t>
  </si>
  <si>
    <t>Arunachal Pradesh</t>
  </si>
  <si>
    <t>FROM 01/04/2016</t>
  </si>
  <si>
    <t>Assam</t>
  </si>
  <si>
    <t>FROM 01/12/2024</t>
  </si>
  <si>
    <t>Bihar</t>
  </si>
  <si>
    <t>FROM 01/10/2025</t>
  </si>
  <si>
    <t>Chandigarh</t>
  </si>
  <si>
    <t>FROM 01/04/2025</t>
  </si>
  <si>
    <t>CHATTISGARH</t>
  </si>
  <si>
    <t>Dadra And Nagar Haveli</t>
  </si>
  <si>
    <t>FROM 01/04/2023</t>
  </si>
  <si>
    <t>Daman Diu</t>
  </si>
  <si>
    <t>Delhi</t>
  </si>
  <si>
    <t>Non matriculates- Semi skilled, Matriculates but not graduates- Skilled, Graduates and above- Highly Skilled</t>
  </si>
  <si>
    <t>Goa</t>
  </si>
  <si>
    <t>Gujarat</t>
  </si>
  <si>
    <t>Haryana</t>
  </si>
  <si>
    <t>FROM 01/07/2025</t>
  </si>
  <si>
    <t>Highest value in class A/B</t>
  </si>
  <si>
    <t>Himachal Pradesh</t>
  </si>
  <si>
    <t>JAMMU AND KASHMIR</t>
  </si>
  <si>
    <t>FRPM 17/10/2022</t>
  </si>
  <si>
    <t>Jharkhand</t>
  </si>
  <si>
    <t>Karnataka</t>
  </si>
  <si>
    <t>Kerala</t>
  </si>
  <si>
    <t>FROM 01/05/2024</t>
  </si>
  <si>
    <t xml:space="preserve">Considered Pathanamthitta zone &amp; Grade D - UnSkilled, Grade C -Semi Skilled, Grade B - Skilled, Grade A -Highly Skilled, </t>
  </si>
  <si>
    <t>Madhya Pradesh</t>
  </si>
  <si>
    <t>Maharashtra</t>
  </si>
  <si>
    <t>FROM 01/01/2026</t>
  </si>
  <si>
    <t>5% HRA of minimum wages</t>
  </si>
  <si>
    <t>Manipur</t>
  </si>
  <si>
    <t>FRPM 27/12/2016</t>
  </si>
  <si>
    <t>Meghalaya</t>
  </si>
  <si>
    <t>Mizoram</t>
  </si>
  <si>
    <t>FORM 01/04/2023</t>
  </si>
  <si>
    <t>Nagaland</t>
  </si>
  <si>
    <t>FROM 14/06/2019</t>
  </si>
  <si>
    <t>Orissa</t>
  </si>
  <si>
    <t>Pondicherry &amp; Karaikal Regions</t>
  </si>
  <si>
    <t>FROM 01/09/2024</t>
  </si>
  <si>
    <t>Punjab</t>
  </si>
  <si>
    <t>FROM 01/03/2025</t>
  </si>
  <si>
    <t>notification Received on 22-04-2025</t>
  </si>
  <si>
    <t>Rajasthan</t>
  </si>
  <si>
    <t>FROM 01/01/2023</t>
  </si>
  <si>
    <t>notification Received on 21st Sept 2023</t>
  </si>
  <si>
    <t>Sikkim</t>
  </si>
  <si>
    <t>FROM 11/07/2022</t>
  </si>
  <si>
    <t>TamilNadu</t>
  </si>
  <si>
    <t>General Category - Zone A</t>
  </si>
  <si>
    <t>Telangana</t>
  </si>
  <si>
    <t>Zone I</t>
  </si>
  <si>
    <t>Tripura</t>
  </si>
  <si>
    <t>Uttar Pradesh</t>
  </si>
  <si>
    <t>Uttarakhand</t>
  </si>
  <si>
    <t>West Bengal</t>
  </si>
  <si>
    <t>Sr.No</t>
  </si>
  <si>
    <t>Effective_Date</t>
  </si>
  <si>
    <t>From_Value</t>
  </si>
  <si>
    <t>To_Value</t>
  </si>
  <si>
    <t>PT</t>
  </si>
  <si>
    <t>Cateogry</t>
  </si>
  <si>
    <t>STATUS</t>
  </si>
  <si>
    <t>01/04/2016</t>
  </si>
  <si>
    <t>ANDAMAN AND NICOBAR</t>
  </si>
  <si>
    <t>Both</t>
  </si>
  <si>
    <t>Not Applicable</t>
  </si>
  <si>
    <t>ANDHRA PRADESH</t>
  </si>
  <si>
    <t>Applicable</t>
  </si>
  <si>
    <t>ARUNACHAL PRADESH</t>
  </si>
  <si>
    <t>ASSAM</t>
  </si>
  <si>
    <t>New PT Slab -W.E.F 01st Apr 2025</t>
  </si>
  <si>
    <t>BIHAR</t>
  </si>
  <si>
    <t>CENTRAL</t>
  </si>
  <si>
    <t>CHANDIGARH</t>
  </si>
  <si>
    <t>CHHATTISGARH</t>
  </si>
  <si>
    <t>DADRA AND NAGAR HAVELI</t>
  </si>
  <si>
    <t>DAMAN AND DIU</t>
  </si>
  <si>
    <t>DELHI</t>
  </si>
  <si>
    <t>GOA</t>
  </si>
  <si>
    <t>01/04/2022</t>
  </si>
  <si>
    <t>GUJARAT</t>
  </si>
  <si>
    <t>HARYANA</t>
  </si>
  <si>
    <t>HIMACHAL PRADESH</t>
  </si>
  <si>
    <t>JHARKHAND</t>
  </si>
  <si>
    <t>15/04/2023</t>
  </si>
  <si>
    <t>KARNATAKA</t>
  </si>
  <si>
    <t>KERALA</t>
  </si>
  <si>
    <t>01/07/2022</t>
  </si>
  <si>
    <t>LADAKH</t>
  </si>
  <si>
    <t>LAKSHADWEEP</t>
  </si>
  <si>
    <t>01/04/2018</t>
  </si>
  <si>
    <t>MADHYA PRADESH</t>
  </si>
  <si>
    <t>MAHARASHTRA</t>
  </si>
  <si>
    <t>Male</t>
  </si>
  <si>
    <t>Female</t>
  </si>
  <si>
    <t>MANIPUR</t>
  </si>
  <si>
    <t>MEGHALAYA</t>
  </si>
  <si>
    <t>01/12/2019</t>
  </si>
  <si>
    <t>MIZORAM</t>
  </si>
  <si>
    <t>NAGALAND</t>
  </si>
  <si>
    <t>ORISSA</t>
  </si>
  <si>
    <t>01/07/2019</t>
  </si>
  <si>
    <t>PONDICHERRY</t>
  </si>
  <si>
    <t>01/06/2018</t>
  </si>
  <si>
    <t>PUNJAB</t>
  </si>
  <si>
    <t>RAJASTHAN</t>
  </si>
  <si>
    <t>SIKKIM</t>
  </si>
  <si>
    <t>TAMILNADU</t>
  </si>
  <si>
    <t>TELANGANA</t>
  </si>
  <si>
    <t>25/07/2018</t>
  </si>
  <si>
    <t>TRIPURA</t>
  </si>
  <si>
    <t>UTTAR PRADESH</t>
  </si>
  <si>
    <t>UTTARAKHAND</t>
  </si>
  <si>
    <t>WEST BENGAL</t>
  </si>
  <si>
    <t>Employer Contribution</t>
  </si>
  <si>
    <t>Employee Contribution</t>
  </si>
  <si>
    <t>Frequency</t>
  </si>
  <si>
    <t>Status</t>
  </si>
  <si>
    <t>Yearly</t>
  </si>
  <si>
    <t>Twice in year (Half yearly)</t>
  </si>
  <si>
    <t>UTTARANCHAL</t>
  </si>
  <si>
    <t>ANDAMAN AND NICOBAR ISLANDS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</si>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</sst>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4009]dd\ mmmm\ yy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indexed="8"/>
      <name val="Calibri Light"/>
      <family val="1"/>
      <scheme val="maj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6" fillId="0" borderId="1" xfId="0" applyFont="1" applyFill="1" applyBorder="1"/>
    <xf numFmtId="15" fontId="5" fillId="6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/>
    </xf>
    <xf numFmtId="15" fontId="5" fillId="7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65" fontId="3" fillId="5" borderId="1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43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9B30-7D76-43C9-BA60-6C3CA76AAFB0}">
  <dimension ref="A1:O37"/>
  <sheetViews>
    <sheetView workbookViewId="0">
      <selection sqref="A1:XFD1048576"/>
    </sheetView>
  </sheetViews>
  <sheetFormatPr defaultColWidth="8.88671875" defaultRowHeight="14.4" x14ac:dyDescent="0.3"/>
  <cols>
    <col min="1" max="1" width="6.88671875" style="6" customWidth="1"/>
    <col min="2" max="2" width="26.5546875" style="6" bestFit="1" customWidth="1"/>
    <col min="3" max="3" width="6" style="6" bestFit="1" customWidth="1"/>
    <col min="4" max="4" width="8.33203125" style="6" bestFit="1" customWidth="1"/>
    <col min="5" max="5" width="6" style="6" bestFit="1" customWidth="1"/>
    <col min="6" max="6" width="8.33203125" style="6" bestFit="1" customWidth="1"/>
    <col min="7" max="7" width="6" style="6" bestFit="1" customWidth="1"/>
    <col min="8" max="8" width="8.5546875" style="6" bestFit="1" customWidth="1"/>
    <col min="9" max="9" width="5.5546875" style="6" bestFit="1" customWidth="1"/>
    <col min="10" max="10" width="8.33203125" style="6" bestFit="1" customWidth="1"/>
    <col min="11" max="11" width="18" style="6" bestFit="1" customWidth="1"/>
    <col min="12" max="12" width="16.109375" style="6" bestFit="1" customWidth="1"/>
    <col min="13" max="13" width="34.44140625" style="6" customWidth="1"/>
    <col min="14" max="16384" width="8.88671875" style="6"/>
  </cols>
  <sheetData>
    <row r="1" spans="1:13" x14ac:dyDescent="0.3">
      <c r="A1" s="1" t="s">
        <v>0</v>
      </c>
      <c r="B1" s="1" t="s">
        <v>1</v>
      </c>
      <c r="C1" s="2" t="s">
        <v>2</v>
      </c>
      <c r="D1" s="2"/>
      <c r="E1" s="3" t="s">
        <v>3</v>
      </c>
      <c r="F1" s="3"/>
      <c r="G1" s="4" t="s">
        <v>4</v>
      </c>
      <c r="H1" s="4"/>
      <c r="I1" s="5" t="s">
        <v>5</v>
      </c>
      <c r="J1" s="5"/>
      <c r="K1" s="1" t="s">
        <v>6</v>
      </c>
      <c r="L1" s="1" t="s">
        <v>6</v>
      </c>
      <c r="M1" s="1" t="s">
        <v>7</v>
      </c>
    </row>
    <row r="2" spans="1:13" x14ac:dyDescent="0.3">
      <c r="A2" s="1" t="s">
        <v>0</v>
      </c>
      <c r="B2" s="1" t="s">
        <v>8</v>
      </c>
      <c r="C2" s="7" t="s">
        <v>9</v>
      </c>
      <c r="D2" s="7" t="s">
        <v>10</v>
      </c>
      <c r="E2" s="8" t="s">
        <v>9</v>
      </c>
      <c r="F2" s="8" t="s">
        <v>10</v>
      </c>
      <c r="G2" s="9" t="s">
        <v>9</v>
      </c>
      <c r="H2" s="9" t="s">
        <v>10</v>
      </c>
      <c r="I2" s="10" t="s">
        <v>9</v>
      </c>
      <c r="J2" s="10" t="s">
        <v>10</v>
      </c>
      <c r="K2" s="1" t="s">
        <v>11</v>
      </c>
      <c r="L2" s="1" t="s">
        <v>11</v>
      </c>
      <c r="M2" s="11"/>
    </row>
    <row r="3" spans="1:13" s="16" customFormat="1" x14ac:dyDescent="0.3">
      <c r="A3" s="12">
        <v>1</v>
      </c>
      <c r="B3" s="12" t="s">
        <v>12</v>
      </c>
      <c r="C3" s="13">
        <f t="shared" ref="C3:C9" si="0">ROUND(D3/26,0)</f>
        <v>633</v>
      </c>
      <c r="D3" s="13">
        <v>16458</v>
      </c>
      <c r="E3" s="13">
        <f t="shared" ref="E3:E9" si="1">ROUND(F3/26,0)</f>
        <v>714</v>
      </c>
      <c r="F3" s="13">
        <v>18564</v>
      </c>
      <c r="G3" s="13">
        <f t="shared" ref="G3:G9" si="2">ROUND(H3/26,0)</f>
        <v>837</v>
      </c>
      <c r="H3" s="13">
        <v>21762</v>
      </c>
      <c r="I3" s="13">
        <f t="shared" ref="I3:I9" si="3">ROUND(J3/26,0)</f>
        <v>920</v>
      </c>
      <c r="J3" s="13">
        <v>23920</v>
      </c>
      <c r="K3" s="14">
        <v>45474</v>
      </c>
      <c r="L3" s="15" t="s">
        <v>13</v>
      </c>
      <c r="M3" s="11"/>
    </row>
    <row r="4" spans="1:13" s="16" customFormat="1" x14ac:dyDescent="0.3">
      <c r="A4" s="12">
        <v>2</v>
      </c>
      <c r="B4" s="11" t="s">
        <v>14</v>
      </c>
      <c r="C4" s="13">
        <f t="shared" si="0"/>
        <v>459</v>
      </c>
      <c r="D4" s="13">
        <v>11936.8</v>
      </c>
      <c r="E4" s="13">
        <f t="shared" si="1"/>
        <v>475</v>
      </c>
      <c r="F4" s="13">
        <v>12338.8</v>
      </c>
      <c r="G4" s="13">
        <f t="shared" si="2"/>
        <v>498</v>
      </c>
      <c r="H4" s="13">
        <v>12958.8</v>
      </c>
      <c r="I4" s="13">
        <f t="shared" si="3"/>
        <v>531</v>
      </c>
      <c r="J4" s="13">
        <v>13793.8</v>
      </c>
      <c r="K4" s="14">
        <v>45383</v>
      </c>
      <c r="L4" s="15" t="s">
        <v>15</v>
      </c>
      <c r="M4" s="11"/>
    </row>
    <row r="5" spans="1:13" s="16" customFormat="1" x14ac:dyDescent="0.3">
      <c r="A5" s="12">
        <v>3</v>
      </c>
      <c r="B5" s="11" t="s">
        <v>16</v>
      </c>
      <c r="C5" s="13">
        <f t="shared" si="0"/>
        <v>254</v>
      </c>
      <c r="D5" s="13">
        <v>6600</v>
      </c>
      <c r="E5" s="13">
        <f t="shared" si="1"/>
        <v>265</v>
      </c>
      <c r="F5" s="13">
        <v>6900</v>
      </c>
      <c r="G5" s="13">
        <f t="shared" si="2"/>
        <v>277</v>
      </c>
      <c r="H5" s="13">
        <v>7200</v>
      </c>
      <c r="I5" s="13">
        <f t="shared" si="3"/>
        <v>0</v>
      </c>
      <c r="J5" s="13">
        <v>0</v>
      </c>
      <c r="K5" s="14">
        <v>42461</v>
      </c>
      <c r="L5" s="15" t="s">
        <v>17</v>
      </c>
      <c r="M5" s="11"/>
    </row>
    <row r="6" spans="1:13" s="16" customFormat="1" x14ac:dyDescent="0.3">
      <c r="A6" s="12">
        <v>4</v>
      </c>
      <c r="B6" s="11" t="s">
        <v>18</v>
      </c>
      <c r="C6" s="13">
        <f t="shared" si="0"/>
        <v>398</v>
      </c>
      <c r="D6" s="13">
        <v>10343.950000000001</v>
      </c>
      <c r="E6" s="13">
        <f t="shared" si="1"/>
        <v>462</v>
      </c>
      <c r="F6" s="13">
        <v>12024.75</v>
      </c>
      <c r="G6" s="13">
        <f t="shared" si="2"/>
        <v>578</v>
      </c>
      <c r="H6" s="13">
        <v>15031.89</v>
      </c>
      <c r="I6" s="13">
        <f t="shared" si="3"/>
        <v>743</v>
      </c>
      <c r="J6" s="13">
        <v>19326.03</v>
      </c>
      <c r="K6" s="14">
        <v>45627</v>
      </c>
      <c r="L6" s="15" t="s">
        <v>19</v>
      </c>
      <c r="M6" s="12"/>
    </row>
    <row r="7" spans="1:13" s="16" customFormat="1" x14ac:dyDescent="0.3">
      <c r="A7" s="12">
        <v>5</v>
      </c>
      <c r="B7" s="11" t="s">
        <v>20</v>
      </c>
      <c r="C7" s="13">
        <f t="shared" si="0"/>
        <v>428</v>
      </c>
      <c r="D7" s="13">
        <v>11128</v>
      </c>
      <c r="E7" s="13">
        <f t="shared" si="1"/>
        <v>444</v>
      </c>
      <c r="F7" s="13">
        <v>11544</v>
      </c>
      <c r="G7" s="13">
        <f t="shared" si="2"/>
        <v>541</v>
      </c>
      <c r="H7" s="13">
        <v>14066</v>
      </c>
      <c r="I7" s="13">
        <f t="shared" si="3"/>
        <v>660</v>
      </c>
      <c r="J7" s="13">
        <v>17160</v>
      </c>
      <c r="K7" s="14">
        <v>45931</v>
      </c>
      <c r="L7" s="15" t="s">
        <v>21</v>
      </c>
      <c r="M7" s="11"/>
    </row>
    <row r="8" spans="1:13" s="16" customFormat="1" x14ac:dyDescent="0.3">
      <c r="A8" s="12">
        <v>6</v>
      </c>
      <c r="B8" s="11" t="s">
        <v>22</v>
      </c>
      <c r="C8" s="13">
        <f t="shared" si="0"/>
        <v>560</v>
      </c>
      <c r="D8" s="13">
        <v>14562</v>
      </c>
      <c r="E8" s="13">
        <f t="shared" si="1"/>
        <v>570</v>
      </c>
      <c r="F8" s="13">
        <v>14812</v>
      </c>
      <c r="G8" s="13">
        <f t="shared" si="2"/>
        <v>586</v>
      </c>
      <c r="H8" s="13">
        <v>15237</v>
      </c>
      <c r="I8" s="13">
        <f t="shared" si="3"/>
        <v>601</v>
      </c>
      <c r="J8" s="13">
        <v>15637</v>
      </c>
      <c r="K8" s="14">
        <v>45748</v>
      </c>
      <c r="L8" s="15" t="s">
        <v>23</v>
      </c>
      <c r="M8" s="12"/>
    </row>
    <row r="9" spans="1:13" s="16" customFormat="1" x14ac:dyDescent="0.3">
      <c r="A9" s="12">
        <v>7</v>
      </c>
      <c r="B9" s="11" t="s">
        <v>24</v>
      </c>
      <c r="C9" s="13">
        <f t="shared" si="0"/>
        <v>430</v>
      </c>
      <c r="D9" s="13">
        <v>11176</v>
      </c>
      <c r="E9" s="13">
        <f t="shared" si="1"/>
        <v>455</v>
      </c>
      <c r="F9" s="13">
        <v>11826</v>
      </c>
      <c r="G9" s="13">
        <f t="shared" si="2"/>
        <v>485</v>
      </c>
      <c r="H9" s="13">
        <v>12606</v>
      </c>
      <c r="I9" s="13">
        <f t="shared" si="3"/>
        <v>515</v>
      </c>
      <c r="J9" s="13">
        <v>13386</v>
      </c>
      <c r="K9" s="14">
        <v>45748</v>
      </c>
      <c r="L9" s="15" t="s">
        <v>23</v>
      </c>
      <c r="M9" s="11"/>
    </row>
    <row r="10" spans="1:13" s="16" customFormat="1" x14ac:dyDescent="0.3">
      <c r="A10" s="12">
        <v>8</v>
      </c>
      <c r="B10" s="12" t="s">
        <v>25</v>
      </c>
      <c r="C10" s="13">
        <v>324.5</v>
      </c>
      <c r="D10" s="13">
        <v>11466</v>
      </c>
      <c r="E10" s="13">
        <v>332.5</v>
      </c>
      <c r="F10" s="13">
        <v>11752</v>
      </c>
      <c r="G10" s="13">
        <v>340.5</v>
      </c>
      <c r="H10" s="13">
        <v>12012</v>
      </c>
      <c r="I10" s="13">
        <f>ROUND(J10/26,0)</f>
        <v>0</v>
      </c>
      <c r="J10" s="13">
        <v>0</v>
      </c>
      <c r="K10" s="14">
        <v>45017</v>
      </c>
      <c r="L10" s="15" t="s">
        <v>26</v>
      </c>
      <c r="M10" s="11"/>
    </row>
    <row r="11" spans="1:13" s="16" customFormat="1" x14ac:dyDescent="0.3">
      <c r="A11" s="12">
        <v>9</v>
      </c>
      <c r="B11" s="11" t="s">
        <v>27</v>
      </c>
      <c r="C11" s="13">
        <f>ROUND(D11/26,0)</f>
        <v>476</v>
      </c>
      <c r="D11" s="13">
        <v>12376</v>
      </c>
      <c r="E11" s="13">
        <f>ROUND(F11/26,0)</f>
        <v>487</v>
      </c>
      <c r="F11" s="13">
        <v>12662</v>
      </c>
      <c r="G11" s="13">
        <f>ROUND(H11/26,0)</f>
        <v>497</v>
      </c>
      <c r="H11" s="13">
        <v>12922</v>
      </c>
      <c r="I11" s="13">
        <f>ROUND(J11/26,0)</f>
        <v>0</v>
      </c>
      <c r="J11" s="13">
        <v>0</v>
      </c>
      <c r="K11" s="14">
        <v>45383</v>
      </c>
      <c r="L11" s="15" t="s">
        <v>15</v>
      </c>
      <c r="M11" s="11"/>
    </row>
    <row r="12" spans="1:13" s="16" customFormat="1" ht="15.6" x14ac:dyDescent="0.3">
      <c r="A12" s="12">
        <v>10</v>
      </c>
      <c r="B12" s="11" t="s">
        <v>28</v>
      </c>
      <c r="C12" s="13">
        <f>ROUND(D12/26,0)</f>
        <v>710</v>
      </c>
      <c r="D12" s="13">
        <v>18456</v>
      </c>
      <c r="E12" s="13">
        <f>ROUND(F12/26,0)</f>
        <v>784</v>
      </c>
      <c r="F12" s="13">
        <v>20371</v>
      </c>
      <c r="G12" s="13">
        <f>ROUND(H12/26,0)</f>
        <v>862</v>
      </c>
      <c r="H12" s="13">
        <v>22411</v>
      </c>
      <c r="I12" s="13">
        <f>ROUND(J12/26,0)</f>
        <v>937</v>
      </c>
      <c r="J12" s="13">
        <v>24356</v>
      </c>
      <c r="K12" s="14">
        <v>45383</v>
      </c>
      <c r="L12" s="15" t="s">
        <v>15</v>
      </c>
      <c r="M12" s="17" t="s">
        <v>29</v>
      </c>
    </row>
    <row r="13" spans="1:13" s="16" customFormat="1" x14ac:dyDescent="0.3">
      <c r="A13" s="12">
        <v>11</v>
      </c>
      <c r="B13" s="11" t="s">
        <v>30</v>
      </c>
      <c r="C13" s="13">
        <f>ROUND(D13/26,0)</f>
        <v>550</v>
      </c>
      <c r="D13" s="13">
        <v>14300</v>
      </c>
      <c r="E13" s="13">
        <f>ROUND(F13/26,0)</f>
        <v>611</v>
      </c>
      <c r="F13" s="13">
        <v>15886</v>
      </c>
      <c r="G13" s="13">
        <f>ROUND(H13/26,0)</f>
        <v>666</v>
      </c>
      <c r="H13" s="13">
        <v>17316</v>
      </c>
      <c r="I13" s="13">
        <v>0</v>
      </c>
      <c r="J13" s="13">
        <v>0</v>
      </c>
      <c r="K13" s="14">
        <v>45931</v>
      </c>
      <c r="L13" s="15" t="s">
        <v>21</v>
      </c>
      <c r="M13" s="11"/>
    </row>
    <row r="14" spans="1:13" s="16" customFormat="1" x14ac:dyDescent="0.3">
      <c r="A14" s="12">
        <v>12</v>
      </c>
      <c r="B14" s="11" t="s">
        <v>31</v>
      </c>
      <c r="C14" s="13">
        <f>ROUND(D14/26,0)</f>
        <v>501</v>
      </c>
      <c r="D14" s="13">
        <v>13013</v>
      </c>
      <c r="E14" s="13">
        <f>ROUND(F14/26,0)</f>
        <v>511</v>
      </c>
      <c r="F14" s="13">
        <v>13273</v>
      </c>
      <c r="G14" s="13">
        <f>ROUND(H14/26,0)</f>
        <v>523</v>
      </c>
      <c r="H14" s="13">
        <v>13585</v>
      </c>
      <c r="I14" s="13">
        <f>ROUND(J14/26,0)</f>
        <v>0</v>
      </c>
      <c r="J14" s="13">
        <v>0</v>
      </c>
      <c r="K14" s="14">
        <v>45931</v>
      </c>
      <c r="L14" s="15" t="s">
        <v>21</v>
      </c>
      <c r="M14" s="11"/>
    </row>
    <row r="15" spans="1:13" s="16" customFormat="1" x14ac:dyDescent="0.3">
      <c r="A15" s="12">
        <v>13</v>
      </c>
      <c r="B15" s="11" t="s">
        <v>32</v>
      </c>
      <c r="C15" s="13">
        <f>ROUND(D15/30,0)</f>
        <v>426</v>
      </c>
      <c r="D15" s="13">
        <v>12775</v>
      </c>
      <c r="E15" s="13">
        <f>ROUND(F15/30,0)</f>
        <v>414</v>
      </c>
      <c r="F15" s="13">
        <v>12430</v>
      </c>
      <c r="G15" s="13">
        <f>ROUND(H15/30,0)</f>
        <v>457</v>
      </c>
      <c r="H15" s="13">
        <v>13704</v>
      </c>
      <c r="I15" s="13">
        <f>ROUND(J15/30,0)</f>
        <v>480</v>
      </c>
      <c r="J15" s="13">
        <v>14390</v>
      </c>
      <c r="K15" s="14">
        <v>45839</v>
      </c>
      <c r="L15" s="18" t="s">
        <v>33</v>
      </c>
      <c r="M15" s="11" t="s">
        <v>34</v>
      </c>
    </row>
    <row r="16" spans="1:13" s="16" customFormat="1" x14ac:dyDescent="0.3">
      <c r="A16" s="12">
        <v>14</v>
      </c>
      <c r="B16" s="11" t="s">
        <v>35</v>
      </c>
      <c r="C16" s="13">
        <f>ROUND(D16/30,0)</f>
        <v>425</v>
      </c>
      <c r="D16" s="13">
        <v>12750</v>
      </c>
      <c r="E16" s="13">
        <f>ROUND(F16/30,0)</f>
        <v>449</v>
      </c>
      <c r="F16" s="13">
        <v>13470</v>
      </c>
      <c r="G16" s="13">
        <f>ROUND(H16/30,0)</f>
        <v>493</v>
      </c>
      <c r="H16" s="13">
        <v>14790</v>
      </c>
      <c r="I16" s="13">
        <f>ROUND(J16/30,0)</f>
        <v>513</v>
      </c>
      <c r="J16" s="13">
        <v>15390</v>
      </c>
      <c r="K16" s="14">
        <v>45748</v>
      </c>
      <c r="L16" s="15" t="s">
        <v>23</v>
      </c>
      <c r="M16" s="11"/>
    </row>
    <row r="17" spans="1:15" s="16" customFormat="1" x14ac:dyDescent="0.3">
      <c r="A17" s="12">
        <v>15</v>
      </c>
      <c r="B17" s="19" t="s">
        <v>36</v>
      </c>
      <c r="C17" s="13">
        <v>311</v>
      </c>
      <c r="D17" s="13">
        <f>C17*26</f>
        <v>8086</v>
      </c>
      <c r="E17" s="13">
        <v>400</v>
      </c>
      <c r="F17" s="13">
        <f>E17*26</f>
        <v>10400</v>
      </c>
      <c r="G17" s="13">
        <v>483</v>
      </c>
      <c r="H17" s="13">
        <f>G17*26</f>
        <v>12558</v>
      </c>
      <c r="I17" s="13">
        <v>552</v>
      </c>
      <c r="J17" s="13">
        <f>I17*26</f>
        <v>14352</v>
      </c>
      <c r="K17" s="14">
        <v>44851</v>
      </c>
      <c r="L17" s="15" t="s">
        <v>37</v>
      </c>
      <c r="M17" s="11"/>
    </row>
    <row r="18" spans="1:15" s="16" customFormat="1" x14ac:dyDescent="0.3">
      <c r="A18" s="12">
        <v>16</v>
      </c>
      <c r="B18" s="11" t="s">
        <v>38</v>
      </c>
      <c r="C18" s="13">
        <f>ROUND(D18/30,0)</f>
        <v>434</v>
      </c>
      <c r="D18" s="13">
        <v>13026</v>
      </c>
      <c r="E18" s="13">
        <f>ROUND(F18/30,0)</f>
        <v>434</v>
      </c>
      <c r="F18" s="13">
        <v>13026</v>
      </c>
      <c r="G18" s="13">
        <f>ROUND(H18/30,0)</f>
        <v>600</v>
      </c>
      <c r="H18" s="13">
        <v>17992</v>
      </c>
      <c r="I18" s="13">
        <f>ROUND(J18/30,0)</f>
        <v>692</v>
      </c>
      <c r="J18" s="13">
        <v>20748</v>
      </c>
      <c r="K18" s="14">
        <v>45748</v>
      </c>
      <c r="L18" s="15" t="s">
        <v>23</v>
      </c>
      <c r="M18" s="11"/>
    </row>
    <row r="19" spans="1:15" s="16" customFormat="1" x14ac:dyDescent="0.3">
      <c r="A19" s="12">
        <v>17</v>
      </c>
      <c r="B19" s="11" t="s">
        <v>39</v>
      </c>
      <c r="C19" s="13">
        <f t="shared" ref="C19:C24" si="4">ROUND(D19/26,0)</f>
        <v>604</v>
      </c>
      <c r="D19" s="13">
        <v>15701.43</v>
      </c>
      <c r="E19" s="13">
        <f t="shared" ref="E19:E24" si="5">ROUND(F19/26,0)</f>
        <v>648</v>
      </c>
      <c r="F19" s="20">
        <v>16860.21</v>
      </c>
      <c r="G19" s="13">
        <f t="shared" ref="G19:G24" si="6">ROUND(H19/26,0)</f>
        <v>697</v>
      </c>
      <c r="H19" s="13">
        <v>18134.87</v>
      </c>
      <c r="I19" s="13">
        <f t="shared" ref="I19:I24" si="7">ROUND(J19/26,0)</f>
        <v>751</v>
      </c>
      <c r="J19" s="20">
        <v>19537</v>
      </c>
      <c r="K19" s="14">
        <v>45748</v>
      </c>
      <c r="L19" s="15" t="s">
        <v>23</v>
      </c>
      <c r="M19" s="11"/>
    </row>
    <row r="20" spans="1:15" s="16" customFormat="1" x14ac:dyDescent="0.3">
      <c r="A20" s="12">
        <v>18</v>
      </c>
      <c r="B20" s="11" t="s">
        <v>40</v>
      </c>
      <c r="C20" s="13">
        <f t="shared" si="4"/>
        <v>541</v>
      </c>
      <c r="D20" s="13">
        <v>14074</v>
      </c>
      <c r="E20" s="13">
        <f t="shared" si="5"/>
        <v>549</v>
      </c>
      <c r="F20" s="13">
        <v>14284</v>
      </c>
      <c r="G20" s="13">
        <f t="shared" si="6"/>
        <v>557</v>
      </c>
      <c r="H20" s="13">
        <v>14494</v>
      </c>
      <c r="I20" s="13">
        <f t="shared" si="7"/>
        <v>566</v>
      </c>
      <c r="J20" s="13">
        <v>14704</v>
      </c>
      <c r="K20" s="14">
        <v>45413</v>
      </c>
      <c r="L20" s="15" t="s">
        <v>41</v>
      </c>
      <c r="M20" s="11" t="s">
        <v>42</v>
      </c>
    </row>
    <row r="21" spans="1:15" s="16" customFormat="1" x14ac:dyDescent="0.3">
      <c r="A21" s="12">
        <v>19</v>
      </c>
      <c r="B21" s="11" t="s">
        <v>43</v>
      </c>
      <c r="C21" s="13">
        <f t="shared" si="4"/>
        <v>466</v>
      </c>
      <c r="D21" s="13">
        <v>12125</v>
      </c>
      <c r="E21" s="13">
        <f t="shared" si="5"/>
        <v>505</v>
      </c>
      <c r="F21" s="13">
        <v>13121</v>
      </c>
      <c r="G21" s="13">
        <f t="shared" si="6"/>
        <v>571</v>
      </c>
      <c r="H21" s="13">
        <v>14844</v>
      </c>
      <c r="I21" s="13">
        <f t="shared" si="7"/>
        <v>633</v>
      </c>
      <c r="J21" s="13">
        <v>16469</v>
      </c>
      <c r="K21" s="14">
        <v>45748</v>
      </c>
      <c r="L21" s="15" t="s">
        <v>23</v>
      </c>
      <c r="M21" s="11"/>
    </row>
    <row r="22" spans="1:15" s="16" customFormat="1" ht="15" thickBot="1" x14ac:dyDescent="0.35">
      <c r="A22" s="12">
        <v>20</v>
      </c>
      <c r="B22" s="11" t="s">
        <v>44</v>
      </c>
      <c r="C22" s="13">
        <f t="shared" si="4"/>
        <v>535</v>
      </c>
      <c r="D22" s="13">
        <v>13921</v>
      </c>
      <c r="E22" s="13">
        <f t="shared" si="5"/>
        <v>568</v>
      </c>
      <c r="F22" s="13">
        <v>14756</v>
      </c>
      <c r="G22" s="13">
        <f t="shared" si="6"/>
        <v>597</v>
      </c>
      <c r="H22" s="13">
        <v>15532</v>
      </c>
      <c r="I22" s="13">
        <f t="shared" si="7"/>
        <v>0</v>
      </c>
      <c r="J22" s="13">
        <v>0</v>
      </c>
      <c r="K22" s="21">
        <v>46023</v>
      </c>
      <c r="L22" s="22" t="s">
        <v>45</v>
      </c>
      <c r="M22" s="23" t="s">
        <v>46</v>
      </c>
      <c r="N22" s="24"/>
      <c r="O22" s="24"/>
    </row>
    <row r="23" spans="1:15" s="16" customFormat="1" x14ac:dyDescent="0.3">
      <c r="A23" s="12">
        <v>21</v>
      </c>
      <c r="B23" s="11" t="s">
        <v>47</v>
      </c>
      <c r="C23" s="13">
        <f t="shared" si="4"/>
        <v>260</v>
      </c>
      <c r="D23" s="13">
        <v>6750</v>
      </c>
      <c r="E23" s="13">
        <f t="shared" si="5"/>
        <v>286</v>
      </c>
      <c r="F23" s="13">
        <v>7440</v>
      </c>
      <c r="G23" s="13">
        <f t="shared" si="6"/>
        <v>315</v>
      </c>
      <c r="H23" s="13">
        <v>8190</v>
      </c>
      <c r="I23" s="13">
        <f t="shared" si="7"/>
        <v>0</v>
      </c>
      <c r="J23" s="13">
        <v>0</v>
      </c>
      <c r="K23" s="14">
        <v>42731</v>
      </c>
      <c r="L23" s="15" t="s">
        <v>48</v>
      </c>
      <c r="M23" s="11"/>
    </row>
    <row r="24" spans="1:15" s="16" customFormat="1" x14ac:dyDescent="0.3">
      <c r="A24" s="12">
        <v>22</v>
      </c>
      <c r="B24" s="11" t="s">
        <v>49</v>
      </c>
      <c r="C24" s="13">
        <f t="shared" si="4"/>
        <v>541</v>
      </c>
      <c r="D24" s="13">
        <v>14066</v>
      </c>
      <c r="E24" s="13">
        <f t="shared" si="5"/>
        <v>583</v>
      </c>
      <c r="F24" s="13">
        <v>15158</v>
      </c>
      <c r="G24" s="13">
        <f t="shared" si="6"/>
        <v>624</v>
      </c>
      <c r="H24" s="13">
        <v>16224</v>
      </c>
      <c r="I24" s="13">
        <f t="shared" si="7"/>
        <v>665</v>
      </c>
      <c r="J24" s="13">
        <v>17290</v>
      </c>
      <c r="K24" s="14">
        <v>45748</v>
      </c>
      <c r="L24" s="15" t="s">
        <v>23</v>
      </c>
      <c r="M24" s="11"/>
    </row>
    <row r="25" spans="1:15" s="16" customFormat="1" x14ac:dyDescent="0.3">
      <c r="A25" s="12">
        <v>23</v>
      </c>
      <c r="B25" s="11" t="s">
        <v>50</v>
      </c>
      <c r="C25" s="13">
        <v>420</v>
      </c>
      <c r="D25" s="13">
        <v>10920</v>
      </c>
      <c r="E25" s="13">
        <v>460</v>
      </c>
      <c r="F25" s="13">
        <v>11960</v>
      </c>
      <c r="G25" s="13">
        <v>570</v>
      </c>
      <c r="H25" s="13">
        <v>14820</v>
      </c>
      <c r="I25" s="13">
        <v>730</v>
      </c>
      <c r="J25" s="13">
        <v>18980</v>
      </c>
      <c r="K25" s="14">
        <v>45017</v>
      </c>
      <c r="L25" s="15" t="s">
        <v>51</v>
      </c>
      <c r="M25" s="12"/>
    </row>
    <row r="26" spans="1:15" s="16" customFormat="1" x14ac:dyDescent="0.3">
      <c r="A26" s="12">
        <v>24</v>
      </c>
      <c r="B26" s="11" t="s">
        <v>52</v>
      </c>
      <c r="C26" s="13">
        <f>ROUND(D26/26,0)</f>
        <v>203</v>
      </c>
      <c r="D26" s="13">
        <v>5280</v>
      </c>
      <c r="E26" s="13">
        <f>ROUND(F26/26,0)</f>
        <v>242</v>
      </c>
      <c r="F26" s="13">
        <v>6300</v>
      </c>
      <c r="G26" s="13">
        <f>ROUND(H26/26,0)</f>
        <v>271</v>
      </c>
      <c r="H26" s="13">
        <v>7050</v>
      </c>
      <c r="I26" s="13">
        <f>ROUND(J26/26,0)</f>
        <v>0</v>
      </c>
      <c r="J26" s="13">
        <v>0</v>
      </c>
      <c r="K26" s="14">
        <v>43630</v>
      </c>
      <c r="L26" s="15" t="s">
        <v>53</v>
      </c>
      <c r="M26" s="11"/>
    </row>
    <row r="27" spans="1:15" s="16" customFormat="1" x14ac:dyDescent="0.3">
      <c r="A27" s="12">
        <v>25</v>
      </c>
      <c r="B27" s="11" t="s">
        <v>54</v>
      </c>
      <c r="C27" s="13">
        <v>352</v>
      </c>
      <c r="D27" s="13">
        <v>12012</v>
      </c>
      <c r="E27" s="13">
        <f>ROUND(F27/26,0)</f>
        <v>512</v>
      </c>
      <c r="F27" s="13">
        <v>13312</v>
      </c>
      <c r="G27" s="13">
        <f>ROUND(H27/26,0)</f>
        <v>562</v>
      </c>
      <c r="H27" s="13">
        <v>14612</v>
      </c>
      <c r="I27" s="13">
        <f>ROUND(J27/26,0)</f>
        <v>612</v>
      </c>
      <c r="J27" s="13">
        <v>15912</v>
      </c>
      <c r="K27" s="14">
        <v>45748</v>
      </c>
      <c r="L27" s="15" t="s">
        <v>23</v>
      </c>
      <c r="M27" s="11"/>
    </row>
    <row r="28" spans="1:15" s="16" customFormat="1" x14ac:dyDescent="0.3">
      <c r="A28" s="12">
        <v>26</v>
      </c>
      <c r="B28" s="11" t="s">
        <v>55</v>
      </c>
      <c r="C28" s="13">
        <f>ROUND(D28/26,0)</f>
        <v>428</v>
      </c>
      <c r="D28" s="13">
        <v>11131</v>
      </c>
      <c r="E28" s="13">
        <f>ROUND(F28/26,0)</f>
        <v>430</v>
      </c>
      <c r="F28" s="13">
        <v>11192</v>
      </c>
      <c r="G28" s="13">
        <f>ROUND(H28/26,0)</f>
        <v>434</v>
      </c>
      <c r="H28" s="13">
        <v>11283</v>
      </c>
      <c r="I28" s="13">
        <f>ROUND(J28/26,0)</f>
        <v>450</v>
      </c>
      <c r="J28" s="13">
        <v>11695</v>
      </c>
      <c r="K28" s="14">
        <v>45536</v>
      </c>
      <c r="L28" s="15" t="s">
        <v>56</v>
      </c>
      <c r="M28" s="11"/>
    </row>
    <row r="29" spans="1:15" s="16" customFormat="1" x14ac:dyDescent="0.3">
      <c r="A29" s="12">
        <v>27</v>
      </c>
      <c r="B29" s="11" t="s">
        <v>57</v>
      </c>
      <c r="C29" s="13">
        <f>ROUND(D29/26,0)</f>
        <v>438</v>
      </c>
      <c r="D29" s="13">
        <v>11389.56</v>
      </c>
      <c r="E29" s="13">
        <f>ROUND(F29/26,0)</f>
        <v>468</v>
      </c>
      <c r="F29" s="13">
        <v>12169.56</v>
      </c>
      <c r="G29" s="13">
        <f>ROUND(H29/26,0)</f>
        <v>503</v>
      </c>
      <c r="H29" s="13">
        <v>13066.56</v>
      </c>
      <c r="I29" s="13">
        <f>ROUND(J29/26,0)</f>
        <v>542</v>
      </c>
      <c r="J29" s="13">
        <v>14098.5</v>
      </c>
      <c r="K29" s="14">
        <v>45717</v>
      </c>
      <c r="L29" s="15" t="s">
        <v>58</v>
      </c>
      <c r="M29" s="11" t="s">
        <v>59</v>
      </c>
    </row>
    <row r="30" spans="1:15" s="16" customFormat="1" x14ac:dyDescent="0.3">
      <c r="A30" s="12">
        <v>28</v>
      </c>
      <c r="B30" s="11" t="s">
        <v>60</v>
      </c>
      <c r="C30" s="13">
        <v>285</v>
      </c>
      <c r="D30" s="13">
        <v>7410</v>
      </c>
      <c r="E30" s="13">
        <v>297</v>
      </c>
      <c r="F30" s="13">
        <v>7722</v>
      </c>
      <c r="G30" s="13">
        <v>309</v>
      </c>
      <c r="H30" s="13">
        <v>8034</v>
      </c>
      <c r="I30" s="13">
        <v>359</v>
      </c>
      <c r="J30" s="13">
        <v>9334</v>
      </c>
      <c r="K30" s="14">
        <v>44927</v>
      </c>
      <c r="L30" s="15" t="s">
        <v>61</v>
      </c>
      <c r="M30" s="11" t="s">
        <v>62</v>
      </c>
    </row>
    <row r="31" spans="1:15" s="16" customFormat="1" x14ac:dyDescent="0.3">
      <c r="A31" s="12">
        <v>29</v>
      </c>
      <c r="B31" s="11" t="s">
        <v>63</v>
      </c>
      <c r="C31" s="13">
        <v>500</v>
      </c>
      <c r="D31" s="13">
        <f>C31*26</f>
        <v>13000</v>
      </c>
      <c r="E31" s="13">
        <v>520</v>
      </c>
      <c r="F31" s="13">
        <f>E31*26</f>
        <v>13520</v>
      </c>
      <c r="G31" s="13">
        <v>535</v>
      </c>
      <c r="H31" s="13">
        <f>G31*26</f>
        <v>13910</v>
      </c>
      <c r="I31" s="13">
        <v>565</v>
      </c>
      <c r="J31" s="13">
        <f>I31*26</f>
        <v>14690</v>
      </c>
      <c r="K31" s="14">
        <v>44753</v>
      </c>
      <c r="L31" s="15" t="s">
        <v>64</v>
      </c>
      <c r="M31" s="11"/>
    </row>
    <row r="32" spans="1:15" s="16" customFormat="1" x14ac:dyDescent="0.3">
      <c r="A32" s="12">
        <v>30</v>
      </c>
      <c r="B32" s="11" t="s">
        <v>65</v>
      </c>
      <c r="C32" s="13">
        <f t="shared" ref="C32:C37" si="8">ROUND(D32/26,0)</f>
        <v>542</v>
      </c>
      <c r="D32" s="13">
        <v>14080</v>
      </c>
      <c r="E32" s="13">
        <f t="shared" ref="E32:E37" si="9">ROUND(F32/26,0)</f>
        <v>544</v>
      </c>
      <c r="F32" s="13">
        <v>14142</v>
      </c>
      <c r="G32" s="13">
        <f t="shared" ref="G32:G37" si="10">ROUND(H32/26,0)</f>
        <v>546</v>
      </c>
      <c r="H32" s="13">
        <v>14193</v>
      </c>
      <c r="I32" s="13">
        <f>ROUND(J32/26,0)</f>
        <v>566</v>
      </c>
      <c r="J32" s="13">
        <v>14703</v>
      </c>
      <c r="K32" s="14">
        <v>45748</v>
      </c>
      <c r="L32" s="15" t="s">
        <v>23</v>
      </c>
      <c r="M32" s="11" t="s">
        <v>66</v>
      </c>
    </row>
    <row r="33" spans="1:13" s="16" customFormat="1" x14ac:dyDescent="0.3">
      <c r="A33" s="12">
        <v>31</v>
      </c>
      <c r="B33" s="11" t="s">
        <v>67</v>
      </c>
      <c r="C33" s="13">
        <f t="shared" si="8"/>
        <v>491</v>
      </c>
      <c r="D33" s="13">
        <v>12762</v>
      </c>
      <c r="E33" s="13">
        <f t="shared" si="9"/>
        <v>498</v>
      </c>
      <c r="F33" s="13">
        <v>12948</v>
      </c>
      <c r="G33" s="13">
        <f t="shared" si="10"/>
        <v>522</v>
      </c>
      <c r="H33" s="13">
        <v>13582</v>
      </c>
      <c r="I33" s="13">
        <f>ROUND(J33/26,0)</f>
        <v>0</v>
      </c>
      <c r="J33" s="13"/>
      <c r="K33" s="14">
        <v>45931</v>
      </c>
      <c r="L33" s="15" t="s">
        <v>21</v>
      </c>
      <c r="M33" s="11" t="s">
        <v>68</v>
      </c>
    </row>
    <row r="34" spans="1:13" s="16" customFormat="1" x14ac:dyDescent="0.3">
      <c r="A34" s="15">
        <v>32</v>
      </c>
      <c r="B34" s="25" t="s">
        <v>69</v>
      </c>
      <c r="C34" s="26">
        <f t="shared" si="8"/>
        <v>291</v>
      </c>
      <c r="D34" s="26">
        <v>7578</v>
      </c>
      <c r="E34" s="26">
        <f t="shared" si="9"/>
        <v>320</v>
      </c>
      <c r="F34" s="26">
        <v>8314</v>
      </c>
      <c r="G34" s="26">
        <f t="shared" si="10"/>
        <v>358</v>
      </c>
      <c r="H34" s="26">
        <v>9298</v>
      </c>
      <c r="I34" s="26">
        <v>0</v>
      </c>
      <c r="J34" s="26">
        <v>0</v>
      </c>
      <c r="K34" s="14">
        <v>45383</v>
      </c>
      <c r="L34" s="27" t="s">
        <v>15</v>
      </c>
      <c r="M34" s="11"/>
    </row>
    <row r="35" spans="1:13" s="16" customFormat="1" x14ac:dyDescent="0.3">
      <c r="A35" s="12">
        <v>33</v>
      </c>
      <c r="B35" s="11" t="s">
        <v>70</v>
      </c>
      <c r="C35" s="13">
        <f t="shared" si="8"/>
        <v>424</v>
      </c>
      <c r="D35" s="13">
        <v>11021</v>
      </c>
      <c r="E35" s="13">
        <f t="shared" si="9"/>
        <v>466</v>
      </c>
      <c r="F35" s="13">
        <v>12123</v>
      </c>
      <c r="G35" s="13">
        <f t="shared" si="10"/>
        <v>522</v>
      </c>
      <c r="H35" s="13">
        <v>13580</v>
      </c>
      <c r="I35" s="13">
        <f>ROUND(J35/26,0)</f>
        <v>0</v>
      </c>
      <c r="J35" s="13">
        <v>0</v>
      </c>
      <c r="K35" s="14">
        <v>45931</v>
      </c>
      <c r="L35" s="15" t="s">
        <v>21</v>
      </c>
      <c r="M35" s="11"/>
    </row>
    <row r="36" spans="1:13" s="16" customFormat="1" x14ac:dyDescent="0.3">
      <c r="A36" s="12">
        <v>34</v>
      </c>
      <c r="B36" s="11" t="s">
        <v>71</v>
      </c>
      <c r="C36" s="13">
        <f t="shared" si="8"/>
        <v>482</v>
      </c>
      <c r="D36" s="13">
        <v>12539</v>
      </c>
      <c r="E36" s="13">
        <f t="shared" si="9"/>
        <v>511</v>
      </c>
      <c r="F36" s="13">
        <v>13280</v>
      </c>
      <c r="G36" s="13">
        <f t="shared" si="10"/>
        <v>539</v>
      </c>
      <c r="H36" s="13">
        <v>14023</v>
      </c>
      <c r="I36" s="13">
        <f>ROUND(J36/26,0)</f>
        <v>588</v>
      </c>
      <c r="J36" s="13">
        <v>15275</v>
      </c>
      <c r="K36" s="14">
        <v>45383</v>
      </c>
      <c r="L36" s="15" t="s">
        <v>15</v>
      </c>
      <c r="M36" s="11"/>
    </row>
    <row r="37" spans="1:13" s="16" customFormat="1" x14ac:dyDescent="0.3">
      <c r="A37" s="12">
        <v>35</v>
      </c>
      <c r="B37" s="11" t="s">
        <v>72</v>
      </c>
      <c r="C37" s="13">
        <f t="shared" si="8"/>
        <v>399</v>
      </c>
      <c r="D37" s="13">
        <v>10386</v>
      </c>
      <c r="E37" s="13">
        <f t="shared" si="9"/>
        <v>439</v>
      </c>
      <c r="F37" s="13">
        <v>11426</v>
      </c>
      <c r="G37" s="13">
        <f t="shared" si="10"/>
        <v>483</v>
      </c>
      <c r="H37" s="13">
        <v>12569</v>
      </c>
      <c r="I37" s="13">
        <f>ROUND(J37/26,0)</f>
        <v>532</v>
      </c>
      <c r="J37" s="13">
        <v>13825</v>
      </c>
      <c r="K37" s="21">
        <v>46023</v>
      </c>
      <c r="L37" s="28" t="s">
        <v>45</v>
      </c>
      <c r="M37" s="29" t="s">
        <v>46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3895-D754-4A47-8EEA-1BC406F637D6}">
  <dimension ref="A1:K117"/>
  <sheetViews>
    <sheetView workbookViewId="0">
      <selection activeCell="C29" sqref="C29"/>
    </sheetView>
  </sheetViews>
  <sheetFormatPr defaultRowHeight="14.4" x14ac:dyDescent="0.3"/>
  <cols>
    <col min="1" max="1" width="5.6640625" bestFit="1" customWidth="1"/>
    <col min="2" max="2" width="13.33203125" bestFit="1" customWidth="1"/>
    <col min="3" max="3" width="23.88671875" bestFit="1" customWidth="1"/>
    <col min="4" max="4" width="12" bestFit="1" customWidth="1"/>
    <col min="5" max="5" width="14.33203125" bestFit="1" customWidth="1"/>
    <col min="6" max="6" width="8.6640625" bestFit="1" customWidth="1"/>
    <col min="7" max="7" width="8.5546875" bestFit="1" customWidth="1"/>
    <col min="8" max="8" width="12.88671875" bestFit="1" customWidth="1"/>
    <col min="9" max="9" width="14.33203125" bestFit="1" customWidth="1"/>
    <col min="10" max="10" width="15.33203125" bestFit="1" customWidth="1"/>
    <col min="11" max="11" width="7.44140625" customWidth="1"/>
  </cols>
  <sheetData>
    <row r="1" spans="1:9" x14ac:dyDescent="0.3">
      <c r="A1" s="10" t="s">
        <v>73</v>
      </c>
      <c r="B1" s="10" t="s">
        <v>74</v>
      </c>
      <c r="C1" s="10" t="s">
        <v>8</v>
      </c>
      <c r="D1" s="30" t="s">
        <v>75</v>
      </c>
      <c r="E1" s="30" t="s">
        <v>76</v>
      </c>
      <c r="F1" s="31" t="s">
        <v>77</v>
      </c>
      <c r="G1" s="10" t="s">
        <v>78</v>
      </c>
      <c r="H1" s="10" t="s">
        <v>79</v>
      </c>
    </row>
    <row r="2" spans="1:9" x14ac:dyDescent="0.3">
      <c r="A2" s="32">
        <v>1</v>
      </c>
      <c r="B2" s="32" t="s">
        <v>80</v>
      </c>
      <c r="C2" s="32" t="s">
        <v>81</v>
      </c>
      <c r="D2" s="33">
        <v>1</v>
      </c>
      <c r="E2" s="33">
        <v>10000000</v>
      </c>
      <c r="F2" s="33">
        <v>0</v>
      </c>
      <c r="G2" s="32" t="s">
        <v>82</v>
      </c>
      <c r="H2" s="32" t="s">
        <v>83</v>
      </c>
    </row>
    <row r="3" spans="1:9" x14ac:dyDescent="0.3">
      <c r="A3" s="32">
        <v>2</v>
      </c>
      <c r="B3" s="32" t="s">
        <v>80</v>
      </c>
      <c r="C3" s="32" t="s">
        <v>84</v>
      </c>
      <c r="D3" s="33">
        <v>1</v>
      </c>
      <c r="E3" s="33">
        <v>15000</v>
      </c>
      <c r="F3" s="33">
        <v>0</v>
      </c>
      <c r="G3" s="32" t="s">
        <v>82</v>
      </c>
      <c r="H3" s="32" t="s">
        <v>85</v>
      </c>
    </row>
    <row r="4" spans="1:9" x14ac:dyDescent="0.3">
      <c r="A4" s="32">
        <v>3</v>
      </c>
      <c r="B4" s="32" t="s">
        <v>80</v>
      </c>
      <c r="C4" s="32" t="s">
        <v>84</v>
      </c>
      <c r="D4" s="33">
        <v>15001</v>
      </c>
      <c r="E4" s="33">
        <v>20000</v>
      </c>
      <c r="F4" s="33">
        <v>150</v>
      </c>
      <c r="G4" s="32" t="s">
        <v>82</v>
      </c>
      <c r="H4" s="32" t="s">
        <v>85</v>
      </c>
    </row>
    <row r="5" spans="1:9" x14ac:dyDescent="0.3">
      <c r="A5" s="32">
        <v>4</v>
      </c>
      <c r="B5" s="32" t="s">
        <v>80</v>
      </c>
      <c r="C5" s="32" t="s">
        <v>84</v>
      </c>
      <c r="D5" s="33">
        <v>20001</v>
      </c>
      <c r="E5" s="33">
        <v>10000000</v>
      </c>
      <c r="F5" s="33">
        <v>200</v>
      </c>
      <c r="G5" s="32" t="s">
        <v>82</v>
      </c>
      <c r="H5" s="32" t="s">
        <v>85</v>
      </c>
    </row>
    <row r="6" spans="1:9" x14ac:dyDescent="0.3">
      <c r="A6" s="32">
        <v>5</v>
      </c>
      <c r="B6" s="32" t="s">
        <v>80</v>
      </c>
      <c r="C6" s="32" t="s">
        <v>86</v>
      </c>
      <c r="D6" s="33">
        <v>1</v>
      </c>
      <c r="E6" s="33">
        <v>10000000</v>
      </c>
      <c r="F6" s="33">
        <v>0</v>
      </c>
      <c r="G6" s="32" t="s">
        <v>82</v>
      </c>
      <c r="H6" s="32" t="s">
        <v>83</v>
      </c>
    </row>
    <row r="7" spans="1:9" x14ac:dyDescent="0.3">
      <c r="A7" s="32">
        <v>6</v>
      </c>
      <c r="B7" s="32" t="s">
        <v>80</v>
      </c>
      <c r="C7" s="32" t="s">
        <v>87</v>
      </c>
      <c r="D7" s="33">
        <v>1</v>
      </c>
      <c r="E7" s="33">
        <v>15000</v>
      </c>
      <c r="F7" s="33">
        <v>150</v>
      </c>
      <c r="G7" s="32" t="s">
        <v>82</v>
      </c>
      <c r="H7" s="32" t="s">
        <v>85</v>
      </c>
      <c r="I7" t="s">
        <v>88</v>
      </c>
    </row>
    <row r="8" spans="1:9" x14ac:dyDescent="0.3">
      <c r="A8" s="32">
        <v>7</v>
      </c>
      <c r="B8" s="32" t="s">
        <v>80</v>
      </c>
      <c r="C8" s="32" t="s">
        <v>87</v>
      </c>
      <c r="D8" s="33">
        <v>15001</v>
      </c>
      <c r="E8" s="33">
        <v>24999</v>
      </c>
      <c r="F8" s="33">
        <v>180</v>
      </c>
      <c r="G8" s="32" t="s">
        <v>82</v>
      </c>
      <c r="H8" s="32" t="s">
        <v>85</v>
      </c>
      <c r="I8" t="s">
        <v>88</v>
      </c>
    </row>
    <row r="9" spans="1:9" x14ac:dyDescent="0.3">
      <c r="A9" s="32">
        <v>8</v>
      </c>
      <c r="B9" s="32" t="s">
        <v>80</v>
      </c>
      <c r="C9" s="32" t="s">
        <v>87</v>
      </c>
      <c r="D9" s="33">
        <v>25000</v>
      </c>
      <c r="E9" s="33">
        <v>1000000000</v>
      </c>
      <c r="F9" s="33">
        <v>208</v>
      </c>
      <c r="G9" s="32" t="s">
        <v>82</v>
      </c>
      <c r="H9" s="32" t="s">
        <v>85</v>
      </c>
      <c r="I9" t="s">
        <v>88</v>
      </c>
    </row>
    <row r="10" spans="1:9" x14ac:dyDescent="0.3">
      <c r="A10" s="32">
        <v>9</v>
      </c>
      <c r="B10" s="32" t="s">
        <v>80</v>
      </c>
      <c r="C10" s="32" t="s">
        <v>89</v>
      </c>
      <c r="D10" s="33">
        <v>1</v>
      </c>
      <c r="E10" s="33">
        <v>25000</v>
      </c>
      <c r="F10" s="33">
        <v>0</v>
      </c>
      <c r="G10" s="32" t="s">
        <v>82</v>
      </c>
      <c r="H10" s="32" t="s">
        <v>85</v>
      </c>
    </row>
    <row r="11" spans="1:9" x14ac:dyDescent="0.3">
      <c r="A11" s="32">
        <v>10</v>
      </c>
      <c r="B11" s="32" t="s">
        <v>80</v>
      </c>
      <c r="C11" s="32" t="s">
        <v>89</v>
      </c>
      <c r="D11" s="33">
        <v>25001</v>
      </c>
      <c r="E11" s="33">
        <v>41666</v>
      </c>
      <c r="F11" s="33">
        <v>83</v>
      </c>
      <c r="G11" s="32" t="s">
        <v>82</v>
      </c>
      <c r="H11" s="32" t="s">
        <v>85</v>
      </c>
    </row>
    <row r="12" spans="1:9" x14ac:dyDescent="0.3">
      <c r="A12" s="32">
        <v>11</v>
      </c>
      <c r="B12" s="32" t="s">
        <v>80</v>
      </c>
      <c r="C12" s="32" t="s">
        <v>89</v>
      </c>
      <c r="D12" s="33">
        <v>41667</v>
      </c>
      <c r="E12" s="33">
        <v>83333</v>
      </c>
      <c r="F12" s="33">
        <v>167</v>
      </c>
      <c r="G12" s="32" t="s">
        <v>82</v>
      </c>
      <c r="H12" s="32" t="s">
        <v>85</v>
      </c>
    </row>
    <row r="13" spans="1:9" x14ac:dyDescent="0.3">
      <c r="A13" s="32">
        <v>12</v>
      </c>
      <c r="B13" s="32" t="s">
        <v>80</v>
      </c>
      <c r="C13" s="32" t="s">
        <v>89</v>
      </c>
      <c r="D13" s="33">
        <v>83334</v>
      </c>
      <c r="E13" s="33">
        <v>100000000</v>
      </c>
      <c r="F13" s="33">
        <v>208</v>
      </c>
      <c r="G13" s="32" t="s">
        <v>82</v>
      </c>
      <c r="H13" s="32" t="s">
        <v>85</v>
      </c>
    </row>
    <row r="14" spans="1:9" x14ac:dyDescent="0.3">
      <c r="A14" s="32">
        <v>13</v>
      </c>
      <c r="B14" s="32" t="s">
        <v>80</v>
      </c>
      <c r="C14" s="32" t="s">
        <v>90</v>
      </c>
      <c r="D14" s="33">
        <v>1</v>
      </c>
      <c r="E14" s="33">
        <v>10000000</v>
      </c>
      <c r="F14" s="33">
        <v>0</v>
      </c>
      <c r="G14" s="32" t="s">
        <v>82</v>
      </c>
      <c r="H14" s="32" t="s">
        <v>83</v>
      </c>
    </row>
    <row r="15" spans="1:9" x14ac:dyDescent="0.3">
      <c r="A15" s="32">
        <v>14</v>
      </c>
      <c r="B15" s="32" t="s">
        <v>80</v>
      </c>
      <c r="C15" s="32" t="s">
        <v>91</v>
      </c>
      <c r="D15" s="33">
        <v>1</v>
      </c>
      <c r="E15" s="33">
        <v>10000000</v>
      </c>
      <c r="F15" s="33">
        <v>0</v>
      </c>
      <c r="G15" s="32" t="s">
        <v>82</v>
      </c>
      <c r="H15" s="32" t="s">
        <v>83</v>
      </c>
    </row>
    <row r="16" spans="1:9" x14ac:dyDescent="0.3">
      <c r="A16" s="32">
        <v>15</v>
      </c>
      <c r="B16" s="32" t="s">
        <v>80</v>
      </c>
      <c r="C16" s="32" t="s">
        <v>92</v>
      </c>
      <c r="D16" s="33">
        <v>1</v>
      </c>
      <c r="E16" s="33">
        <v>10000000</v>
      </c>
      <c r="F16" s="33">
        <v>0</v>
      </c>
      <c r="G16" s="32" t="s">
        <v>82</v>
      </c>
      <c r="H16" s="32" t="s">
        <v>83</v>
      </c>
    </row>
    <row r="17" spans="1:8" x14ac:dyDescent="0.3">
      <c r="A17" s="32">
        <v>16</v>
      </c>
      <c r="B17" s="32" t="s">
        <v>80</v>
      </c>
      <c r="C17" s="32" t="s">
        <v>93</v>
      </c>
      <c r="D17" s="33">
        <v>1</v>
      </c>
      <c r="E17" s="33">
        <v>10000000</v>
      </c>
      <c r="F17" s="33">
        <v>0</v>
      </c>
      <c r="G17" s="32" t="s">
        <v>82</v>
      </c>
      <c r="H17" s="32" t="s">
        <v>83</v>
      </c>
    </row>
    <row r="18" spans="1:8" x14ac:dyDescent="0.3">
      <c r="A18" s="32">
        <v>17</v>
      </c>
      <c r="B18" s="32" t="s">
        <v>80</v>
      </c>
      <c r="C18" s="32" t="s">
        <v>94</v>
      </c>
      <c r="D18" s="33">
        <v>1</v>
      </c>
      <c r="E18" s="33">
        <v>10000000</v>
      </c>
      <c r="F18" s="33">
        <v>0</v>
      </c>
      <c r="G18" s="32" t="s">
        <v>82</v>
      </c>
      <c r="H18" s="32" t="s">
        <v>83</v>
      </c>
    </row>
    <row r="19" spans="1:8" x14ac:dyDescent="0.3">
      <c r="A19" s="32">
        <v>18</v>
      </c>
      <c r="B19" s="32" t="s">
        <v>80</v>
      </c>
      <c r="C19" s="32" t="s">
        <v>95</v>
      </c>
      <c r="D19" s="33">
        <v>1</v>
      </c>
      <c r="E19" s="33">
        <v>10000000</v>
      </c>
      <c r="F19" s="33">
        <v>0</v>
      </c>
      <c r="G19" s="32" t="s">
        <v>82</v>
      </c>
      <c r="H19" s="32" t="s">
        <v>83</v>
      </c>
    </row>
    <row r="20" spans="1:8" x14ac:dyDescent="0.3">
      <c r="A20" s="32">
        <v>19</v>
      </c>
      <c r="B20" s="32" t="s">
        <v>80</v>
      </c>
      <c r="C20" s="32" t="s">
        <v>96</v>
      </c>
      <c r="D20" s="33">
        <v>1</v>
      </c>
      <c r="E20" s="33">
        <v>10000000</v>
      </c>
      <c r="F20" s="33">
        <v>0</v>
      </c>
      <c r="G20" s="32" t="s">
        <v>82</v>
      </c>
      <c r="H20" s="32" t="s">
        <v>83</v>
      </c>
    </row>
    <row r="21" spans="1:8" x14ac:dyDescent="0.3">
      <c r="A21" s="32">
        <v>20</v>
      </c>
      <c r="B21" s="32" t="s">
        <v>97</v>
      </c>
      <c r="C21" s="32" t="s">
        <v>98</v>
      </c>
      <c r="D21" s="33">
        <v>1</v>
      </c>
      <c r="E21" s="33">
        <v>12000</v>
      </c>
      <c r="F21" s="33">
        <v>0</v>
      </c>
      <c r="G21" s="32" t="s">
        <v>82</v>
      </c>
      <c r="H21" s="32" t="s">
        <v>85</v>
      </c>
    </row>
    <row r="22" spans="1:8" x14ac:dyDescent="0.3">
      <c r="A22" s="32">
        <v>21</v>
      </c>
      <c r="B22" s="32" t="s">
        <v>97</v>
      </c>
      <c r="C22" s="32" t="s">
        <v>98</v>
      </c>
      <c r="D22" s="33">
        <v>12001</v>
      </c>
      <c r="E22" s="33">
        <v>100000000</v>
      </c>
      <c r="F22" s="33">
        <v>200</v>
      </c>
      <c r="G22" s="32" t="s">
        <v>82</v>
      </c>
      <c r="H22" s="32" t="s">
        <v>85</v>
      </c>
    </row>
    <row r="23" spans="1:8" x14ac:dyDescent="0.3">
      <c r="A23" s="32">
        <v>22</v>
      </c>
      <c r="B23" s="32" t="s">
        <v>80</v>
      </c>
      <c r="C23" s="32" t="s">
        <v>99</v>
      </c>
      <c r="D23" s="33">
        <v>1</v>
      </c>
      <c r="E23" s="33">
        <v>10000000</v>
      </c>
      <c r="F23" s="33">
        <v>0</v>
      </c>
      <c r="G23" s="32" t="s">
        <v>82</v>
      </c>
      <c r="H23" s="32" t="s">
        <v>83</v>
      </c>
    </row>
    <row r="24" spans="1:8" x14ac:dyDescent="0.3">
      <c r="A24" s="32">
        <v>23</v>
      </c>
      <c r="B24" s="32" t="s">
        <v>80</v>
      </c>
      <c r="C24" s="32" t="s">
        <v>100</v>
      </c>
      <c r="D24" s="33">
        <v>1</v>
      </c>
      <c r="E24" s="33">
        <v>10000000</v>
      </c>
      <c r="F24" s="33">
        <v>0</v>
      </c>
      <c r="G24" s="32" t="s">
        <v>82</v>
      </c>
      <c r="H24" s="32" t="s">
        <v>83</v>
      </c>
    </row>
    <row r="25" spans="1:8" x14ac:dyDescent="0.3">
      <c r="A25" s="32">
        <v>24</v>
      </c>
      <c r="B25" s="32" t="s">
        <v>80</v>
      </c>
      <c r="C25" s="32" t="s">
        <v>36</v>
      </c>
      <c r="D25" s="33">
        <v>1</v>
      </c>
      <c r="E25" s="33">
        <v>10000000</v>
      </c>
      <c r="F25" s="33">
        <v>0</v>
      </c>
      <c r="G25" s="32" t="s">
        <v>82</v>
      </c>
      <c r="H25" s="32" t="s">
        <v>83</v>
      </c>
    </row>
    <row r="26" spans="1:8" x14ac:dyDescent="0.3">
      <c r="A26" s="32">
        <v>25</v>
      </c>
      <c r="B26" s="32" t="s">
        <v>80</v>
      </c>
      <c r="C26" s="32" t="s">
        <v>101</v>
      </c>
      <c r="D26" s="33">
        <v>1</v>
      </c>
      <c r="E26" s="33">
        <v>25000</v>
      </c>
      <c r="F26" s="33">
        <v>0</v>
      </c>
      <c r="G26" s="32" t="s">
        <v>82</v>
      </c>
      <c r="H26" s="32" t="s">
        <v>85</v>
      </c>
    </row>
    <row r="27" spans="1:8" x14ac:dyDescent="0.3">
      <c r="A27" s="32">
        <v>26</v>
      </c>
      <c r="B27" s="32" t="s">
        <v>80</v>
      </c>
      <c r="C27" s="32" t="s">
        <v>101</v>
      </c>
      <c r="D27" s="33">
        <v>25001</v>
      </c>
      <c r="E27" s="33">
        <v>41666</v>
      </c>
      <c r="F27" s="33">
        <v>100</v>
      </c>
      <c r="G27" s="32" t="s">
        <v>82</v>
      </c>
      <c r="H27" s="32" t="s">
        <v>85</v>
      </c>
    </row>
    <row r="28" spans="1:8" x14ac:dyDescent="0.3">
      <c r="A28" s="32">
        <v>27</v>
      </c>
      <c r="B28" s="32" t="s">
        <v>80</v>
      </c>
      <c r="C28" s="32" t="s">
        <v>101</v>
      </c>
      <c r="D28" s="33">
        <v>41667</v>
      </c>
      <c r="E28" s="33">
        <v>66666</v>
      </c>
      <c r="F28" s="33">
        <v>150</v>
      </c>
      <c r="G28" s="32" t="s">
        <v>82</v>
      </c>
      <c r="H28" s="32" t="s">
        <v>85</v>
      </c>
    </row>
    <row r="29" spans="1:8" x14ac:dyDescent="0.3">
      <c r="A29" s="32">
        <v>28</v>
      </c>
      <c r="B29" s="32" t="s">
        <v>80</v>
      </c>
      <c r="C29" s="32" t="s">
        <v>101</v>
      </c>
      <c r="D29" s="33">
        <v>66667</v>
      </c>
      <c r="E29" s="33">
        <v>83333</v>
      </c>
      <c r="F29" s="33">
        <v>175</v>
      </c>
      <c r="G29" s="32" t="s">
        <v>82</v>
      </c>
      <c r="H29" s="32" t="s">
        <v>85</v>
      </c>
    </row>
    <row r="30" spans="1:8" x14ac:dyDescent="0.3">
      <c r="A30" s="32">
        <v>29</v>
      </c>
      <c r="B30" s="32" t="s">
        <v>80</v>
      </c>
      <c r="C30" s="32" t="s">
        <v>101</v>
      </c>
      <c r="D30" s="33">
        <v>83334</v>
      </c>
      <c r="E30" s="33">
        <v>1000000000</v>
      </c>
      <c r="F30" s="33">
        <v>208</v>
      </c>
      <c r="G30" s="32" t="s">
        <v>82</v>
      </c>
      <c r="H30" s="32" t="s">
        <v>85</v>
      </c>
    </row>
    <row r="31" spans="1:8" x14ac:dyDescent="0.3">
      <c r="A31" s="32">
        <v>30</v>
      </c>
      <c r="B31" s="32" t="s">
        <v>102</v>
      </c>
      <c r="C31" s="32" t="s">
        <v>103</v>
      </c>
      <c r="D31" s="33">
        <v>1</v>
      </c>
      <c r="E31" s="33">
        <v>24999</v>
      </c>
      <c r="F31" s="33">
        <v>0</v>
      </c>
      <c r="G31" s="32" t="s">
        <v>82</v>
      </c>
      <c r="H31" s="32" t="s">
        <v>85</v>
      </c>
    </row>
    <row r="32" spans="1:8" x14ac:dyDescent="0.3">
      <c r="A32" s="32">
        <v>31</v>
      </c>
      <c r="B32" s="32" t="s">
        <v>102</v>
      </c>
      <c r="C32" s="32" t="s">
        <v>103</v>
      </c>
      <c r="D32" s="33">
        <v>25000</v>
      </c>
      <c r="E32" s="33">
        <v>1000000000</v>
      </c>
      <c r="F32" s="33">
        <v>200</v>
      </c>
      <c r="G32" s="32" t="s">
        <v>82</v>
      </c>
      <c r="H32" s="32" t="s">
        <v>85</v>
      </c>
    </row>
    <row r="33" spans="1:8" x14ac:dyDescent="0.3">
      <c r="A33" s="32">
        <v>32</v>
      </c>
      <c r="B33" s="32" t="s">
        <v>80</v>
      </c>
      <c r="C33" s="32" t="s">
        <v>104</v>
      </c>
      <c r="D33" s="33">
        <v>1</v>
      </c>
      <c r="E33" s="33">
        <v>1999</v>
      </c>
      <c r="F33" s="33">
        <v>0</v>
      </c>
      <c r="G33" s="32" t="s">
        <v>82</v>
      </c>
      <c r="H33" s="32" t="s">
        <v>85</v>
      </c>
    </row>
    <row r="34" spans="1:8" x14ac:dyDescent="0.3">
      <c r="A34" s="32">
        <v>33</v>
      </c>
      <c r="B34" s="32" t="s">
        <v>80</v>
      </c>
      <c r="C34" s="32" t="s">
        <v>104</v>
      </c>
      <c r="D34" s="33">
        <v>2000</v>
      </c>
      <c r="E34" s="33">
        <v>2999</v>
      </c>
      <c r="F34" s="33">
        <v>20</v>
      </c>
      <c r="G34" s="32" t="s">
        <v>82</v>
      </c>
      <c r="H34" s="32" t="s">
        <v>85</v>
      </c>
    </row>
    <row r="35" spans="1:8" x14ac:dyDescent="0.3">
      <c r="A35" s="32">
        <v>34</v>
      </c>
      <c r="B35" s="32" t="s">
        <v>80</v>
      </c>
      <c r="C35" s="32" t="s">
        <v>104</v>
      </c>
      <c r="D35" s="33">
        <v>3000</v>
      </c>
      <c r="E35" s="33">
        <v>4999</v>
      </c>
      <c r="F35" s="33">
        <v>30</v>
      </c>
      <c r="G35" s="32" t="s">
        <v>82</v>
      </c>
      <c r="H35" s="32" t="s">
        <v>85</v>
      </c>
    </row>
    <row r="36" spans="1:8" x14ac:dyDescent="0.3">
      <c r="A36" s="32">
        <v>35</v>
      </c>
      <c r="B36" s="32" t="s">
        <v>80</v>
      </c>
      <c r="C36" s="32" t="s">
        <v>104</v>
      </c>
      <c r="D36" s="33">
        <v>5000</v>
      </c>
      <c r="E36" s="33">
        <v>7499</v>
      </c>
      <c r="F36" s="33">
        <v>50</v>
      </c>
      <c r="G36" s="32" t="s">
        <v>82</v>
      </c>
      <c r="H36" s="32" t="s">
        <v>85</v>
      </c>
    </row>
    <row r="37" spans="1:8" x14ac:dyDescent="0.3">
      <c r="A37" s="32">
        <v>36</v>
      </c>
      <c r="B37" s="32" t="s">
        <v>80</v>
      </c>
      <c r="C37" s="32" t="s">
        <v>104</v>
      </c>
      <c r="D37" s="33">
        <v>7500</v>
      </c>
      <c r="E37" s="33">
        <v>9999</v>
      </c>
      <c r="F37" s="33">
        <v>75</v>
      </c>
      <c r="G37" s="32" t="s">
        <v>82</v>
      </c>
      <c r="H37" s="32" t="s">
        <v>85</v>
      </c>
    </row>
    <row r="38" spans="1:8" x14ac:dyDescent="0.3">
      <c r="A38" s="32">
        <v>37</v>
      </c>
      <c r="B38" s="32" t="s">
        <v>80</v>
      </c>
      <c r="C38" s="32" t="s">
        <v>104</v>
      </c>
      <c r="D38" s="33">
        <v>10000</v>
      </c>
      <c r="E38" s="33">
        <v>12499</v>
      </c>
      <c r="F38" s="33">
        <v>100</v>
      </c>
      <c r="G38" s="32" t="s">
        <v>82</v>
      </c>
      <c r="H38" s="32" t="s">
        <v>85</v>
      </c>
    </row>
    <row r="39" spans="1:8" x14ac:dyDescent="0.3">
      <c r="A39" s="32">
        <v>38</v>
      </c>
      <c r="B39" s="32" t="s">
        <v>80</v>
      </c>
      <c r="C39" s="32" t="s">
        <v>104</v>
      </c>
      <c r="D39" s="33">
        <v>12500</v>
      </c>
      <c r="E39" s="33">
        <v>16666</v>
      </c>
      <c r="F39" s="33">
        <v>125</v>
      </c>
      <c r="G39" s="32" t="s">
        <v>82</v>
      </c>
      <c r="H39" s="32" t="s">
        <v>85</v>
      </c>
    </row>
    <row r="40" spans="1:8" x14ac:dyDescent="0.3">
      <c r="A40" s="32">
        <v>39</v>
      </c>
      <c r="B40" s="32" t="s">
        <v>80</v>
      </c>
      <c r="C40" s="32" t="s">
        <v>104</v>
      </c>
      <c r="D40" s="33">
        <v>16667</v>
      </c>
      <c r="E40" s="33">
        <v>20832</v>
      </c>
      <c r="F40" s="33">
        <v>166</v>
      </c>
      <c r="G40" s="32" t="s">
        <v>82</v>
      </c>
      <c r="H40" s="32" t="s">
        <v>85</v>
      </c>
    </row>
    <row r="41" spans="1:8" x14ac:dyDescent="0.3">
      <c r="A41" s="32">
        <v>40</v>
      </c>
      <c r="B41" s="32" t="s">
        <v>80</v>
      </c>
      <c r="C41" s="32" t="s">
        <v>104</v>
      </c>
      <c r="D41" s="33">
        <v>20833</v>
      </c>
      <c r="E41" s="33">
        <v>1000000000</v>
      </c>
      <c r="F41" s="33">
        <v>208</v>
      </c>
      <c r="G41" s="32" t="s">
        <v>82</v>
      </c>
      <c r="H41" s="32" t="s">
        <v>85</v>
      </c>
    </row>
    <row r="42" spans="1:8" x14ac:dyDescent="0.3">
      <c r="A42" s="32">
        <v>41</v>
      </c>
      <c r="B42" s="32" t="s">
        <v>105</v>
      </c>
      <c r="C42" s="32" t="s">
        <v>106</v>
      </c>
      <c r="D42" s="33">
        <v>1</v>
      </c>
      <c r="E42" s="33">
        <v>10000000</v>
      </c>
      <c r="F42" s="33">
        <v>0</v>
      </c>
      <c r="G42" s="32" t="s">
        <v>82</v>
      </c>
      <c r="H42" s="32" t="s">
        <v>83</v>
      </c>
    </row>
    <row r="43" spans="1:8" x14ac:dyDescent="0.3">
      <c r="A43" s="32">
        <v>42</v>
      </c>
      <c r="B43" s="32" t="s">
        <v>105</v>
      </c>
      <c r="C43" s="32" t="s">
        <v>107</v>
      </c>
      <c r="D43" s="33">
        <v>1</v>
      </c>
      <c r="E43" s="33">
        <v>10000000</v>
      </c>
      <c r="F43" s="33">
        <v>0</v>
      </c>
      <c r="G43" s="32" t="s">
        <v>82</v>
      </c>
      <c r="H43" s="32" t="s">
        <v>83</v>
      </c>
    </row>
    <row r="44" spans="1:8" x14ac:dyDescent="0.3">
      <c r="A44" s="32">
        <v>43</v>
      </c>
      <c r="B44" s="32" t="s">
        <v>108</v>
      </c>
      <c r="C44" s="32" t="s">
        <v>109</v>
      </c>
      <c r="D44" s="33">
        <v>1</v>
      </c>
      <c r="E44" s="33">
        <v>18750</v>
      </c>
      <c r="F44" s="33">
        <v>0</v>
      </c>
      <c r="G44" s="32" t="s">
        <v>82</v>
      </c>
      <c r="H44" s="32" t="s">
        <v>85</v>
      </c>
    </row>
    <row r="45" spans="1:8" x14ac:dyDescent="0.3">
      <c r="A45" s="32">
        <v>44</v>
      </c>
      <c r="B45" s="32" t="s">
        <v>108</v>
      </c>
      <c r="C45" s="32" t="s">
        <v>109</v>
      </c>
      <c r="D45" s="33">
        <v>18751</v>
      </c>
      <c r="E45" s="33">
        <v>25000</v>
      </c>
      <c r="F45" s="33">
        <v>125</v>
      </c>
      <c r="G45" s="32" t="s">
        <v>82</v>
      </c>
      <c r="H45" s="32" t="s">
        <v>85</v>
      </c>
    </row>
    <row r="46" spans="1:8" x14ac:dyDescent="0.3">
      <c r="A46" s="32">
        <v>45</v>
      </c>
      <c r="B46" s="32" t="s">
        <v>108</v>
      </c>
      <c r="C46" s="32" t="s">
        <v>109</v>
      </c>
      <c r="D46" s="33">
        <v>25001</v>
      </c>
      <c r="E46" s="33">
        <v>33333</v>
      </c>
      <c r="F46" s="33">
        <v>166</v>
      </c>
      <c r="G46" s="32" t="s">
        <v>82</v>
      </c>
      <c r="H46" s="32" t="s">
        <v>85</v>
      </c>
    </row>
    <row r="47" spans="1:8" x14ac:dyDescent="0.3">
      <c r="A47" s="32">
        <v>46</v>
      </c>
      <c r="B47" s="32" t="s">
        <v>108</v>
      </c>
      <c r="C47" s="32" t="s">
        <v>109</v>
      </c>
      <c r="D47" s="33">
        <v>33334</v>
      </c>
      <c r="E47" s="33">
        <v>1000000000</v>
      </c>
      <c r="F47" s="33">
        <v>208</v>
      </c>
      <c r="G47" s="32" t="s">
        <v>82</v>
      </c>
      <c r="H47" s="32" t="s">
        <v>85</v>
      </c>
    </row>
    <row r="48" spans="1:8" x14ac:dyDescent="0.3">
      <c r="A48" s="32">
        <v>47</v>
      </c>
      <c r="B48" s="32" t="s">
        <v>108</v>
      </c>
      <c r="C48" s="32" t="s">
        <v>110</v>
      </c>
      <c r="D48" s="33">
        <v>1</v>
      </c>
      <c r="E48" s="33">
        <v>7500</v>
      </c>
      <c r="F48" s="33">
        <v>0</v>
      </c>
      <c r="G48" s="32" t="s">
        <v>111</v>
      </c>
      <c r="H48" s="32" t="s">
        <v>85</v>
      </c>
    </row>
    <row r="49" spans="1:8" x14ac:dyDescent="0.3">
      <c r="A49" s="32">
        <v>48</v>
      </c>
      <c r="B49" s="32" t="s">
        <v>108</v>
      </c>
      <c r="C49" s="32" t="s">
        <v>110</v>
      </c>
      <c r="D49" s="33">
        <f>E48+1</f>
        <v>7501</v>
      </c>
      <c r="E49" s="33">
        <v>10000</v>
      </c>
      <c r="F49" s="33">
        <v>175</v>
      </c>
      <c r="G49" s="32" t="s">
        <v>111</v>
      </c>
      <c r="H49" s="32" t="s">
        <v>85</v>
      </c>
    </row>
    <row r="50" spans="1:8" x14ac:dyDescent="0.3">
      <c r="A50" s="32">
        <v>49</v>
      </c>
      <c r="B50" s="32" t="s">
        <v>108</v>
      </c>
      <c r="C50" s="32" t="s">
        <v>110</v>
      </c>
      <c r="D50" s="33">
        <f>E49+1</f>
        <v>10001</v>
      </c>
      <c r="E50" s="33">
        <v>1000000000</v>
      </c>
      <c r="F50" s="33">
        <v>200</v>
      </c>
      <c r="G50" s="32" t="s">
        <v>111</v>
      </c>
      <c r="H50" s="32" t="s">
        <v>85</v>
      </c>
    </row>
    <row r="51" spans="1:8" x14ac:dyDescent="0.3">
      <c r="A51" s="32">
        <v>50</v>
      </c>
      <c r="B51" s="32" t="s">
        <v>102</v>
      </c>
      <c r="C51" s="32" t="s">
        <v>110</v>
      </c>
      <c r="D51" s="33">
        <v>1</v>
      </c>
      <c r="E51" s="33">
        <v>25000</v>
      </c>
      <c r="F51" s="33">
        <v>0</v>
      </c>
      <c r="G51" s="32" t="s">
        <v>112</v>
      </c>
      <c r="H51" s="32" t="s">
        <v>85</v>
      </c>
    </row>
    <row r="52" spans="1:8" x14ac:dyDescent="0.3">
      <c r="A52" s="32">
        <v>51</v>
      </c>
      <c r="B52" s="32" t="s">
        <v>102</v>
      </c>
      <c r="C52" s="32" t="s">
        <v>110</v>
      </c>
      <c r="D52" s="33">
        <v>25001</v>
      </c>
      <c r="E52" s="33">
        <v>1000000000</v>
      </c>
      <c r="F52" s="33">
        <v>200</v>
      </c>
      <c r="G52" s="32" t="s">
        <v>112</v>
      </c>
      <c r="H52" s="32" t="s">
        <v>85</v>
      </c>
    </row>
    <row r="53" spans="1:8" x14ac:dyDescent="0.3">
      <c r="A53" s="32">
        <v>52</v>
      </c>
      <c r="B53" s="32" t="s">
        <v>80</v>
      </c>
      <c r="C53" s="32" t="s">
        <v>113</v>
      </c>
      <c r="D53" s="33">
        <v>1</v>
      </c>
      <c r="E53" s="33">
        <v>4167</v>
      </c>
      <c r="F53" s="33">
        <v>0</v>
      </c>
      <c r="G53" s="32" t="s">
        <v>82</v>
      </c>
      <c r="H53" s="32" t="s">
        <v>85</v>
      </c>
    </row>
    <row r="54" spans="1:8" x14ac:dyDescent="0.3">
      <c r="A54" s="32">
        <v>53</v>
      </c>
      <c r="B54" s="32" t="s">
        <v>80</v>
      </c>
      <c r="C54" s="32" t="s">
        <v>113</v>
      </c>
      <c r="D54" s="33">
        <v>4168</v>
      </c>
      <c r="E54" s="33">
        <v>6250</v>
      </c>
      <c r="F54" s="33">
        <v>100</v>
      </c>
      <c r="G54" s="32" t="s">
        <v>82</v>
      </c>
      <c r="H54" s="32" t="s">
        <v>85</v>
      </c>
    </row>
    <row r="55" spans="1:8" x14ac:dyDescent="0.3">
      <c r="A55" s="32">
        <v>54</v>
      </c>
      <c r="B55" s="32" t="s">
        <v>80</v>
      </c>
      <c r="C55" s="32" t="s">
        <v>113</v>
      </c>
      <c r="D55" s="33">
        <v>6251</v>
      </c>
      <c r="E55" s="33">
        <v>8333</v>
      </c>
      <c r="F55" s="33">
        <v>167</v>
      </c>
      <c r="G55" s="32" t="s">
        <v>82</v>
      </c>
      <c r="H55" s="32" t="s">
        <v>85</v>
      </c>
    </row>
    <row r="56" spans="1:8" x14ac:dyDescent="0.3">
      <c r="A56" s="32">
        <v>55</v>
      </c>
      <c r="B56" s="32" t="s">
        <v>80</v>
      </c>
      <c r="C56" s="32" t="s">
        <v>113</v>
      </c>
      <c r="D56" s="33">
        <v>8334</v>
      </c>
      <c r="E56" s="33">
        <v>10417</v>
      </c>
      <c r="F56" s="33">
        <v>200</v>
      </c>
      <c r="G56" s="32" t="s">
        <v>82</v>
      </c>
      <c r="H56" s="32" t="s">
        <v>85</v>
      </c>
    </row>
    <row r="57" spans="1:8" x14ac:dyDescent="0.3">
      <c r="A57" s="32">
        <v>56</v>
      </c>
      <c r="B57" s="32" t="s">
        <v>80</v>
      </c>
      <c r="C57" s="32" t="s">
        <v>113</v>
      </c>
      <c r="D57" s="33">
        <v>10418</v>
      </c>
      <c r="E57" s="33">
        <v>1000000000</v>
      </c>
      <c r="F57" s="33">
        <v>208</v>
      </c>
      <c r="G57" s="32" t="s">
        <v>82</v>
      </c>
      <c r="H57" s="32" t="s">
        <v>85</v>
      </c>
    </row>
    <row r="58" spans="1:8" x14ac:dyDescent="0.3">
      <c r="A58" s="32">
        <v>57</v>
      </c>
      <c r="B58" s="32" t="s">
        <v>80</v>
      </c>
      <c r="C58" s="32" t="s">
        <v>114</v>
      </c>
      <c r="D58" s="33">
        <v>1</v>
      </c>
      <c r="E58" s="33">
        <v>4167</v>
      </c>
      <c r="F58" s="33">
        <v>0</v>
      </c>
      <c r="G58" s="32" t="s">
        <v>82</v>
      </c>
      <c r="H58" s="32" t="s">
        <v>85</v>
      </c>
    </row>
    <row r="59" spans="1:8" x14ac:dyDescent="0.3">
      <c r="A59" s="32">
        <v>58</v>
      </c>
      <c r="B59" s="32" t="s">
        <v>80</v>
      </c>
      <c r="C59" s="32" t="s">
        <v>114</v>
      </c>
      <c r="D59" s="33">
        <v>4168</v>
      </c>
      <c r="E59" s="33">
        <v>6250</v>
      </c>
      <c r="F59" s="33">
        <v>17</v>
      </c>
      <c r="G59" s="32" t="s">
        <v>82</v>
      </c>
      <c r="H59" s="32" t="s">
        <v>85</v>
      </c>
    </row>
    <row r="60" spans="1:8" x14ac:dyDescent="0.3">
      <c r="A60" s="32">
        <v>59</v>
      </c>
      <c r="B60" s="32" t="s">
        <v>80</v>
      </c>
      <c r="C60" s="32" t="s">
        <v>114</v>
      </c>
      <c r="D60" s="33">
        <v>6251</v>
      </c>
      <c r="E60" s="33">
        <v>8333</v>
      </c>
      <c r="F60" s="33">
        <v>25</v>
      </c>
      <c r="G60" s="32" t="s">
        <v>82</v>
      </c>
      <c r="H60" s="32" t="s">
        <v>85</v>
      </c>
    </row>
    <row r="61" spans="1:8" x14ac:dyDescent="0.3">
      <c r="A61" s="32">
        <v>60</v>
      </c>
      <c r="B61" s="32" t="s">
        <v>80</v>
      </c>
      <c r="C61" s="32" t="s">
        <v>114</v>
      </c>
      <c r="D61" s="33">
        <v>8334</v>
      </c>
      <c r="E61" s="33">
        <v>12500</v>
      </c>
      <c r="F61" s="33">
        <v>42</v>
      </c>
      <c r="G61" s="32" t="s">
        <v>82</v>
      </c>
      <c r="H61" s="32" t="s">
        <v>85</v>
      </c>
    </row>
    <row r="62" spans="1:8" x14ac:dyDescent="0.3">
      <c r="A62" s="32">
        <v>61</v>
      </c>
      <c r="B62" s="32" t="s">
        <v>80</v>
      </c>
      <c r="C62" s="32" t="s">
        <v>114</v>
      </c>
      <c r="D62" s="33">
        <v>12501</v>
      </c>
      <c r="E62" s="33">
        <v>16667</v>
      </c>
      <c r="F62" s="33">
        <v>63</v>
      </c>
      <c r="G62" s="32" t="s">
        <v>82</v>
      </c>
      <c r="H62" s="32" t="s">
        <v>85</v>
      </c>
    </row>
    <row r="63" spans="1:8" x14ac:dyDescent="0.3">
      <c r="A63" s="32">
        <v>62</v>
      </c>
      <c r="B63" s="32" t="s">
        <v>80</v>
      </c>
      <c r="C63" s="32" t="s">
        <v>114</v>
      </c>
      <c r="D63" s="33">
        <v>16668</v>
      </c>
      <c r="E63" s="33">
        <v>20833</v>
      </c>
      <c r="F63" s="33">
        <v>83</v>
      </c>
      <c r="G63" s="32" t="s">
        <v>82</v>
      </c>
      <c r="H63" s="32" t="s">
        <v>85</v>
      </c>
    </row>
    <row r="64" spans="1:8" x14ac:dyDescent="0.3">
      <c r="A64" s="32">
        <v>63</v>
      </c>
      <c r="B64" s="32" t="s">
        <v>80</v>
      </c>
      <c r="C64" s="32" t="s">
        <v>114</v>
      </c>
      <c r="D64" s="33">
        <v>20834</v>
      </c>
      <c r="E64" s="33">
        <v>25000</v>
      </c>
      <c r="F64" s="33">
        <v>104</v>
      </c>
      <c r="G64" s="32" t="s">
        <v>82</v>
      </c>
      <c r="H64" s="32" t="s">
        <v>85</v>
      </c>
    </row>
    <row r="65" spans="1:8" x14ac:dyDescent="0.3">
      <c r="A65" s="32">
        <v>64</v>
      </c>
      <c r="B65" s="32" t="s">
        <v>80</v>
      </c>
      <c r="C65" s="32" t="s">
        <v>114</v>
      </c>
      <c r="D65" s="33">
        <v>25001</v>
      </c>
      <c r="E65" s="33">
        <v>29167</v>
      </c>
      <c r="F65" s="33">
        <v>125</v>
      </c>
      <c r="G65" s="32" t="s">
        <v>82</v>
      </c>
      <c r="H65" s="32" t="s">
        <v>85</v>
      </c>
    </row>
    <row r="66" spans="1:8" x14ac:dyDescent="0.3">
      <c r="A66" s="32">
        <v>65</v>
      </c>
      <c r="B66" s="32" t="s">
        <v>80</v>
      </c>
      <c r="C66" s="32" t="s">
        <v>114</v>
      </c>
      <c r="D66" s="33">
        <v>29168</v>
      </c>
      <c r="E66" s="33">
        <v>33333</v>
      </c>
      <c r="F66" s="33">
        <v>150</v>
      </c>
      <c r="G66" s="32" t="s">
        <v>82</v>
      </c>
      <c r="H66" s="32" t="s">
        <v>85</v>
      </c>
    </row>
    <row r="67" spans="1:8" x14ac:dyDescent="0.3">
      <c r="A67" s="32">
        <v>66</v>
      </c>
      <c r="B67" s="32" t="s">
        <v>80</v>
      </c>
      <c r="C67" s="32" t="s">
        <v>114</v>
      </c>
      <c r="D67" s="33">
        <v>33334</v>
      </c>
      <c r="E67" s="33">
        <v>37500</v>
      </c>
      <c r="F67" s="33">
        <v>175</v>
      </c>
      <c r="G67" s="32" t="s">
        <v>82</v>
      </c>
      <c r="H67" s="32" t="s">
        <v>85</v>
      </c>
    </row>
    <row r="68" spans="1:8" x14ac:dyDescent="0.3">
      <c r="A68" s="32">
        <v>67</v>
      </c>
      <c r="B68" s="32" t="s">
        <v>80</v>
      </c>
      <c r="C68" s="32" t="s">
        <v>114</v>
      </c>
      <c r="D68" s="33">
        <v>37501</v>
      </c>
      <c r="E68" s="33">
        <v>41667</v>
      </c>
      <c r="F68" s="33">
        <v>200</v>
      </c>
      <c r="G68" s="32" t="s">
        <v>82</v>
      </c>
      <c r="H68" s="32" t="s">
        <v>85</v>
      </c>
    </row>
    <row r="69" spans="1:8" x14ac:dyDescent="0.3">
      <c r="A69" s="32">
        <v>68</v>
      </c>
      <c r="B69" s="32" t="s">
        <v>80</v>
      </c>
      <c r="C69" s="32" t="s">
        <v>114</v>
      </c>
      <c r="D69" s="33">
        <v>41668</v>
      </c>
      <c r="E69" s="33">
        <v>1000000000</v>
      </c>
      <c r="F69" s="33">
        <v>208</v>
      </c>
      <c r="G69" s="32" t="s">
        <v>82</v>
      </c>
      <c r="H69" s="32" t="s">
        <v>85</v>
      </c>
    </row>
    <row r="70" spans="1:8" x14ac:dyDescent="0.3">
      <c r="A70" s="32">
        <v>69</v>
      </c>
      <c r="B70" s="32" t="s">
        <v>115</v>
      </c>
      <c r="C70" s="32" t="s">
        <v>116</v>
      </c>
      <c r="D70" s="33">
        <v>1</v>
      </c>
      <c r="E70" s="33">
        <v>5000</v>
      </c>
      <c r="F70" s="33">
        <v>0</v>
      </c>
      <c r="G70" s="32" t="s">
        <v>82</v>
      </c>
      <c r="H70" s="32" t="s">
        <v>85</v>
      </c>
    </row>
    <row r="71" spans="1:8" x14ac:dyDescent="0.3">
      <c r="A71" s="32">
        <v>70</v>
      </c>
      <c r="B71" s="32" t="s">
        <v>115</v>
      </c>
      <c r="C71" s="32" t="s">
        <v>116</v>
      </c>
      <c r="D71" s="33">
        <v>5001</v>
      </c>
      <c r="E71" s="33">
        <v>8000</v>
      </c>
      <c r="F71" s="33">
        <v>75</v>
      </c>
      <c r="G71" s="32" t="s">
        <v>82</v>
      </c>
      <c r="H71" s="32" t="s">
        <v>85</v>
      </c>
    </row>
    <row r="72" spans="1:8" x14ac:dyDescent="0.3">
      <c r="A72" s="32">
        <v>71</v>
      </c>
      <c r="B72" s="32" t="s">
        <v>115</v>
      </c>
      <c r="C72" s="32" t="s">
        <v>116</v>
      </c>
      <c r="D72" s="33">
        <v>8001</v>
      </c>
      <c r="E72" s="33">
        <v>10000</v>
      </c>
      <c r="F72" s="33">
        <v>120</v>
      </c>
      <c r="G72" s="32" t="s">
        <v>82</v>
      </c>
      <c r="H72" s="32" t="s">
        <v>85</v>
      </c>
    </row>
    <row r="73" spans="1:8" x14ac:dyDescent="0.3">
      <c r="A73" s="32">
        <v>72</v>
      </c>
      <c r="B73" s="32" t="s">
        <v>115</v>
      </c>
      <c r="C73" s="32" t="s">
        <v>116</v>
      </c>
      <c r="D73" s="33">
        <v>10001</v>
      </c>
      <c r="E73" s="33">
        <v>12000</v>
      </c>
      <c r="F73" s="33">
        <v>150</v>
      </c>
      <c r="G73" s="32" t="s">
        <v>82</v>
      </c>
      <c r="H73" s="32" t="s">
        <v>85</v>
      </c>
    </row>
    <row r="74" spans="1:8" x14ac:dyDescent="0.3">
      <c r="A74" s="32">
        <v>73</v>
      </c>
      <c r="B74" s="32" t="s">
        <v>115</v>
      </c>
      <c r="C74" s="32" t="s">
        <v>116</v>
      </c>
      <c r="D74" s="33">
        <v>12001</v>
      </c>
      <c r="E74" s="33">
        <v>15000</v>
      </c>
      <c r="F74" s="33">
        <v>180</v>
      </c>
      <c r="G74" s="32" t="s">
        <v>82</v>
      </c>
      <c r="H74" s="32" t="s">
        <v>85</v>
      </c>
    </row>
    <row r="75" spans="1:8" x14ac:dyDescent="0.3">
      <c r="A75" s="32">
        <v>74</v>
      </c>
      <c r="B75" s="32" t="s">
        <v>115</v>
      </c>
      <c r="C75" s="32" t="s">
        <v>116</v>
      </c>
      <c r="D75" s="33">
        <v>15001</v>
      </c>
      <c r="E75" s="33">
        <v>1000000000</v>
      </c>
      <c r="F75" s="33">
        <v>208</v>
      </c>
      <c r="G75" s="32" t="s">
        <v>82</v>
      </c>
      <c r="H75" s="32" t="s">
        <v>85</v>
      </c>
    </row>
    <row r="76" spans="1:8" x14ac:dyDescent="0.3">
      <c r="A76" s="32">
        <v>75</v>
      </c>
      <c r="B76" s="32" t="s">
        <v>80</v>
      </c>
      <c r="C76" s="32" t="s">
        <v>117</v>
      </c>
      <c r="D76" s="33">
        <v>1</v>
      </c>
      <c r="E76" s="33">
        <v>3999</v>
      </c>
      <c r="F76" s="33">
        <v>0</v>
      </c>
      <c r="G76" s="32" t="s">
        <v>82</v>
      </c>
      <c r="H76" s="32" t="s">
        <v>85</v>
      </c>
    </row>
    <row r="77" spans="1:8" x14ac:dyDescent="0.3">
      <c r="A77" s="32">
        <v>76</v>
      </c>
      <c r="B77" s="32" t="s">
        <v>80</v>
      </c>
      <c r="C77" s="32" t="s">
        <v>117</v>
      </c>
      <c r="D77" s="33">
        <v>4000</v>
      </c>
      <c r="E77" s="33">
        <v>4999</v>
      </c>
      <c r="F77" s="33">
        <v>35</v>
      </c>
      <c r="G77" s="32" t="s">
        <v>82</v>
      </c>
      <c r="H77" s="32" t="s">
        <v>85</v>
      </c>
    </row>
    <row r="78" spans="1:8" x14ac:dyDescent="0.3">
      <c r="A78" s="32">
        <v>77</v>
      </c>
      <c r="B78" s="32" t="s">
        <v>80</v>
      </c>
      <c r="C78" s="32" t="s">
        <v>117</v>
      </c>
      <c r="D78" s="33">
        <v>5000</v>
      </c>
      <c r="E78" s="33">
        <v>6999</v>
      </c>
      <c r="F78" s="33">
        <v>75</v>
      </c>
      <c r="G78" s="32" t="s">
        <v>82</v>
      </c>
      <c r="H78" s="32" t="s">
        <v>85</v>
      </c>
    </row>
    <row r="79" spans="1:8" x14ac:dyDescent="0.3">
      <c r="A79" s="32">
        <v>78</v>
      </c>
      <c r="B79" s="32" t="s">
        <v>80</v>
      </c>
      <c r="C79" s="32" t="s">
        <v>117</v>
      </c>
      <c r="D79" s="33">
        <v>7001</v>
      </c>
      <c r="E79" s="33">
        <v>8999</v>
      </c>
      <c r="F79" s="33">
        <v>110</v>
      </c>
      <c r="G79" s="32" t="s">
        <v>82</v>
      </c>
      <c r="H79" s="32" t="s">
        <v>85</v>
      </c>
    </row>
    <row r="80" spans="1:8" x14ac:dyDescent="0.3">
      <c r="A80" s="32">
        <v>79</v>
      </c>
      <c r="B80" s="32" t="s">
        <v>80</v>
      </c>
      <c r="C80" s="32" t="s">
        <v>117</v>
      </c>
      <c r="D80" s="33">
        <v>9001</v>
      </c>
      <c r="E80" s="33">
        <v>11999</v>
      </c>
      <c r="F80" s="33">
        <v>180</v>
      </c>
      <c r="G80" s="32" t="s">
        <v>82</v>
      </c>
      <c r="H80" s="32" t="s">
        <v>85</v>
      </c>
    </row>
    <row r="81" spans="1:10" x14ac:dyDescent="0.3">
      <c r="A81" s="32">
        <v>80</v>
      </c>
      <c r="B81" s="32" t="s">
        <v>80</v>
      </c>
      <c r="C81" s="32" t="s">
        <v>117</v>
      </c>
      <c r="D81" s="33">
        <v>12000</v>
      </c>
      <c r="E81" s="33">
        <v>1000000000</v>
      </c>
      <c r="F81" s="33">
        <v>208</v>
      </c>
      <c r="G81" s="32" t="s">
        <v>82</v>
      </c>
      <c r="H81" s="32" t="s">
        <v>85</v>
      </c>
    </row>
    <row r="82" spans="1:10" x14ac:dyDescent="0.3">
      <c r="A82" s="32">
        <v>81</v>
      </c>
      <c r="B82" s="32" t="s">
        <v>80</v>
      </c>
      <c r="C82" s="32" t="s">
        <v>118</v>
      </c>
      <c r="D82" s="33">
        <v>1</v>
      </c>
      <c r="E82" s="33">
        <v>13332</v>
      </c>
      <c r="F82" s="33">
        <v>0</v>
      </c>
      <c r="G82" s="32" t="s">
        <v>82</v>
      </c>
      <c r="H82" s="32" t="s">
        <v>85</v>
      </c>
    </row>
    <row r="83" spans="1:10" x14ac:dyDescent="0.3">
      <c r="A83" s="32">
        <v>82</v>
      </c>
      <c r="B83" s="32" t="s">
        <v>80</v>
      </c>
      <c r="C83" s="32" t="s">
        <v>118</v>
      </c>
      <c r="D83" s="33">
        <v>13333</v>
      </c>
      <c r="E83" s="33">
        <v>25000</v>
      </c>
      <c r="F83" s="33">
        <v>125</v>
      </c>
      <c r="G83" s="32" t="s">
        <v>82</v>
      </c>
      <c r="H83" s="32" t="s">
        <v>85</v>
      </c>
    </row>
    <row r="84" spans="1:10" x14ac:dyDescent="0.3">
      <c r="A84" s="32">
        <v>83</v>
      </c>
      <c r="B84" s="32" t="s">
        <v>80</v>
      </c>
      <c r="C84" s="32" t="s">
        <v>118</v>
      </c>
      <c r="D84" s="33">
        <v>25001</v>
      </c>
      <c r="E84" s="33">
        <v>1000000000</v>
      </c>
      <c r="F84" s="33">
        <v>200</v>
      </c>
      <c r="G84" s="32" t="s">
        <v>82</v>
      </c>
      <c r="H84" s="32" t="s">
        <v>85</v>
      </c>
    </row>
    <row r="85" spans="1:10" x14ac:dyDescent="0.3">
      <c r="A85" s="32">
        <v>84</v>
      </c>
      <c r="B85" s="32" t="s">
        <v>119</v>
      </c>
      <c r="C85" s="32" t="s">
        <v>120</v>
      </c>
      <c r="D85" s="33">
        <v>1</v>
      </c>
      <c r="E85" s="33">
        <v>99999</v>
      </c>
      <c r="F85" s="33">
        <v>0</v>
      </c>
      <c r="G85" s="32" t="s">
        <v>82</v>
      </c>
      <c r="H85" s="32" t="s">
        <v>85</v>
      </c>
      <c r="I85" s="34">
        <f t="shared" ref="I85:I90" si="0">E85/12</f>
        <v>8333.25</v>
      </c>
    </row>
    <row r="86" spans="1:10" x14ac:dyDescent="0.3">
      <c r="A86" s="32">
        <v>85</v>
      </c>
      <c r="B86" s="32" t="s">
        <v>119</v>
      </c>
      <c r="C86" s="32" t="s">
        <v>120</v>
      </c>
      <c r="D86" s="33">
        <v>100000</v>
      </c>
      <c r="E86" s="33">
        <v>200000</v>
      </c>
      <c r="F86" s="33">
        <v>250</v>
      </c>
      <c r="G86" s="32" t="s">
        <v>82</v>
      </c>
      <c r="H86" s="32" t="s">
        <v>85</v>
      </c>
      <c r="I86" s="34">
        <f t="shared" si="0"/>
        <v>16666.666666666668</v>
      </c>
      <c r="J86" s="34">
        <f>F86/12</f>
        <v>20.833333333333332</v>
      </c>
    </row>
    <row r="87" spans="1:10" x14ac:dyDescent="0.3">
      <c r="A87" s="32">
        <v>86</v>
      </c>
      <c r="B87" s="32" t="s">
        <v>119</v>
      </c>
      <c r="C87" s="32" t="s">
        <v>120</v>
      </c>
      <c r="D87" s="33">
        <v>200001</v>
      </c>
      <c r="E87" s="33">
        <v>300000</v>
      </c>
      <c r="F87" s="33">
        <v>500</v>
      </c>
      <c r="G87" s="32" t="s">
        <v>82</v>
      </c>
      <c r="H87" s="32" t="s">
        <v>85</v>
      </c>
      <c r="I87" s="34">
        <f t="shared" si="0"/>
        <v>25000</v>
      </c>
      <c r="J87" s="34">
        <f>F87/12</f>
        <v>41.666666666666664</v>
      </c>
    </row>
    <row r="88" spans="1:10" x14ac:dyDescent="0.3">
      <c r="A88" s="32">
        <v>87</v>
      </c>
      <c r="B88" s="32" t="s">
        <v>119</v>
      </c>
      <c r="C88" s="32" t="s">
        <v>120</v>
      </c>
      <c r="D88" s="33">
        <v>300001</v>
      </c>
      <c r="E88" s="33">
        <v>400000</v>
      </c>
      <c r="F88" s="33">
        <v>750</v>
      </c>
      <c r="G88" s="32" t="s">
        <v>82</v>
      </c>
      <c r="H88" s="32" t="s">
        <v>85</v>
      </c>
      <c r="I88" s="34">
        <f t="shared" si="0"/>
        <v>33333.333333333336</v>
      </c>
      <c r="J88" s="34">
        <f>F88/12</f>
        <v>62.5</v>
      </c>
    </row>
    <row r="89" spans="1:10" x14ac:dyDescent="0.3">
      <c r="A89" s="32">
        <v>88</v>
      </c>
      <c r="B89" s="32" t="s">
        <v>119</v>
      </c>
      <c r="C89" s="32" t="s">
        <v>120</v>
      </c>
      <c r="D89" s="33">
        <v>400001</v>
      </c>
      <c r="E89" s="33">
        <v>500000</v>
      </c>
      <c r="F89" s="33">
        <v>1000</v>
      </c>
      <c r="G89" s="32" t="s">
        <v>82</v>
      </c>
      <c r="H89" s="32" t="s">
        <v>85</v>
      </c>
      <c r="I89" s="34">
        <f t="shared" si="0"/>
        <v>41666.666666666664</v>
      </c>
      <c r="J89" s="34">
        <f>F89/12</f>
        <v>83.333333333333329</v>
      </c>
    </row>
    <row r="90" spans="1:10" x14ac:dyDescent="0.3">
      <c r="A90" s="32">
        <v>89</v>
      </c>
      <c r="B90" s="32" t="s">
        <v>119</v>
      </c>
      <c r="C90" s="32" t="s">
        <v>120</v>
      </c>
      <c r="D90" s="33">
        <v>500001</v>
      </c>
      <c r="E90" s="33">
        <v>1000000000</v>
      </c>
      <c r="F90" s="33">
        <v>1250</v>
      </c>
      <c r="G90" s="32" t="s">
        <v>82</v>
      </c>
      <c r="H90" s="32" t="s">
        <v>85</v>
      </c>
      <c r="I90" s="34">
        <f t="shared" si="0"/>
        <v>83333333.333333328</v>
      </c>
      <c r="J90" s="34">
        <f>F90/12</f>
        <v>104.16666666666667</v>
      </c>
    </row>
    <row r="91" spans="1:10" x14ac:dyDescent="0.3">
      <c r="A91" s="32">
        <v>90</v>
      </c>
      <c r="B91" s="32" t="s">
        <v>121</v>
      </c>
      <c r="C91" s="32" t="s">
        <v>122</v>
      </c>
      <c r="D91" s="33">
        <v>1</v>
      </c>
      <c r="E91" s="33">
        <v>20833</v>
      </c>
      <c r="F91" s="33">
        <v>0</v>
      </c>
      <c r="G91" s="32" t="s">
        <v>82</v>
      </c>
      <c r="H91" s="32" t="s">
        <v>85</v>
      </c>
    </row>
    <row r="92" spans="1:10" x14ac:dyDescent="0.3">
      <c r="A92" s="32">
        <v>91</v>
      </c>
      <c r="B92" s="32" t="s">
        <v>121</v>
      </c>
      <c r="C92" s="32" t="s">
        <v>122</v>
      </c>
      <c r="D92" s="33">
        <v>20834</v>
      </c>
      <c r="E92" s="33">
        <v>10000000</v>
      </c>
      <c r="F92" s="33">
        <v>200</v>
      </c>
      <c r="G92" s="32" t="s">
        <v>82</v>
      </c>
      <c r="H92" s="32" t="s">
        <v>85</v>
      </c>
    </row>
    <row r="93" spans="1:10" x14ac:dyDescent="0.3">
      <c r="A93" s="32">
        <v>92</v>
      </c>
      <c r="B93" s="32" t="s">
        <v>80</v>
      </c>
      <c r="C93" s="32" t="s">
        <v>123</v>
      </c>
      <c r="D93" s="33">
        <v>1</v>
      </c>
      <c r="E93" s="33">
        <v>10000000</v>
      </c>
      <c r="F93" s="33">
        <v>0</v>
      </c>
      <c r="G93" s="32" t="s">
        <v>82</v>
      </c>
      <c r="H93" s="32" t="s">
        <v>83</v>
      </c>
    </row>
    <row r="94" spans="1:10" x14ac:dyDescent="0.3">
      <c r="A94" s="32">
        <v>93</v>
      </c>
      <c r="B94" s="32" t="s">
        <v>115</v>
      </c>
      <c r="C94" s="32" t="s">
        <v>124</v>
      </c>
      <c r="D94" s="33">
        <v>1</v>
      </c>
      <c r="E94" s="33">
        <v>20000</v>
      </c>
      <c r="F94" s="33">
        <v>0</v>
      </c>
      <c r="G94" s="32" t="s">
        <v>82</v>
      </c>
      <c r="H94" s="32" t="s">
        <v>85</v>
      </c>
    </row>
    <row r="95" spans="1:10" x14ac:dyDescent="0.3">
      <c r="A95" s="32">
        <v>94</v>
      </c>
      <c r="B95" s="32" t="s">
        <v>115</v>
      </c>
      <c r="C95" s="32" t="s">
        <v>124</v>
      </c>
      <c r="D95" s="33">
        <v>20001</v>
      </c>
      <c r="E95" s="33">
        <v>30000</v>
      </c>
      <c r="F95" s="33">
        <v>125</v>
      </c>
      <c r="G95" s="32" t="s">
        <v>82</v>
      </c>
      <c r="H95" s="32" t="s">
        <v>85</v>
      </c>
    </row>
    <row r="96" spans="1:10" x14ac:dyDescent="0.3">
      <c r="A96" s="32">
        <v>95</v>
      </c>
      <c r="B96" s="32" t="s">
        <v>115</v>
      </c>
      <c r="C96" s="32" t="s">
        <v>124</v>
      </c>
      <c r="D96" s="33">
        <v>30001</v>
      </c>
      <c r="E96" s="33">
        <v>40000</v>
      </c>
      <c r="F96" s="33">
        <v>150</v>
      </c>
      <c r="G96" s="32" t="s">
        <v>82</v>
      </c>
      <c r="H96" s="32" t="s">
        <v>85</v>
      </c>
    </row>
    <row r="97" spans="1:11" x14ac:dyDescent="0.3">
      <c r="A97" s="32">
        <v>96</v>
      </c>
      <c r="B97" s="32" t="s">
        <v>115</v>
      </c>
      <c r="C97" s="32" t="s">
        <v>124</v>
      </c>
      <c r="D97" s="33">
        <v>40001</v>
      </c>
      <c r="E97" s="33">
        <v>1000000000</v>
      </c>
      <c r="F97" s="33">
        <v>200</v>
      </c>
      <c r="G97" s="32" t="s">
        <v>82</v>
      </c>
      <c r="H97" s="32" t="s">
        <v>85</v>
      </c>
    </row>
    <row r="98" spans="1:11" x14ac:dyDescent="0.3">
      <c r="A98" s="32">
        <v>97</v>
      </c>
      <c r="B98" s="32" t="s">
        <v>108</v>
      </c>
      <c r="C98" s="32" t="s">
        <v>125</v>
      </c>
      <c r="D98" s="33">
        <v>1</v>
      </c>
      <c r="E98" s="33">
        <v>21000</v>
      </c>
      <c r="F98" s="33">
        <v>0</v>
      </c>
      <c r="G98" s="32" t="s">
        <v>82</v>
      </c>
      <c r="H98" s="32" t="s">
        <v>85</v>
      </c>
      <c r="I98" s="34">
        <f>D98/6</f>
        <v>0.16666666666666666</v>
      </c>
      <c r="J98" s="34">
        <f>E98/6</f>
        <v>3500</v>
      </c>
      <c r="K98" s="35">
        <f>ROUND(F98/6,0)</f>
        <v>0</v>
      </c>
    </row>
    <row r="99" spans="1:11" x14ac:dyDescent="0.3">
      <c r="A99" s="32">
        <v>98</v>
      </c>
      <c r="B99" s="32" t="s">
        <v>108</v>
      </c>
      <c r="C99" s="32" t="s">
        <v>125</v>
      </c>
      <c r="D99" s="33">
        <v>21001</v>
      </c>
      <c r="E99" s="33">
        <v>30000</v>
      </c>
      <c r="F99" s="33">
        <v>135</v>
      </c>
      <c r="G99" s="32" t="s">
        <v>82</v>
      </c>
      <c r="H99" s="32" t="s">
        <v>85</v>
      </c>
      <c r="I99" s="34">
        <f t="shared" ref="I99:J103" si="1">D99/6</f>
        <v>3500.1666666666665</v>
      </c>
      <c r="J99" s="34">
        <f t="shared" si="1"/>
        <v>5000</v>
      </c>
      <c r="K99" s="35">
        <f t="shared" ref="K99:K103" si="2">ROUND(F99/6,0)</f>
        <v>23</v>
      </c>
    </row>
    <row r="100" spans="1:11" x14ac:dyDescent="0.3">
      <c r="A100" s="32">
        <v>99</v>
      </c>
      <c r="B100" s="32" t="s">
        <v>108</v>
      </c>
      <c r="C100" s="32" t="s">
        <v>125</v>
      </c>
      <c r="D100" s="33">
        <v>30001</v>
      </c>
      <c r="E100" s="33">
        <v>45000</v>
      </c>
      <c r="F100" s="33">
        <v>315</v>
      </c>
      <c r="G100" s="32" t="s">
        <v>82</v>
      </c>
      <c r="H100" s="32" t="s">
        <v>85</v>
      </c>
      <c r="I100" s="34">
        <f t="shared" si="1"/>
        <v>5000.166666666667</v>
      </c>
      <c r="J100" s="34">
        <f t="shared" si="1"/>
        <v>7500</v>
      </c>
      <c r="K100" s="35">
        <f t="shared" si="2"/>
        <v>53</v>
      </c>
    </row>
    <row r="101" spans="1:11" x14ac:dyDescent="0.3">
      <c r="A101" s="32">
        <v>100</v>
      </c>
      <c r="B101" s="32" t="s">
        <v>108</v>
      </c>
      <c r="C101" s="32" t="s">
        <v>125</v>
      </c>
      <c r="D101" s="33">
        <v>45001</v>
      </c>
      <c r="E101" s="33">
        <v>60000</v>
      </c>
      <c r="F101" s="33">
        <v>690</v>
      </c>
      <c r="G101" s="32" t="s">
        <v>82</v>
      </c>
      <c r="H101" s="32" t="s">
        <v>85</v>
      </c>
      <c r="I101" s="34">
        <f t="shared" si="1"/>
        <v>7500.166666666667</v>
      </c>
      <c r="J101" s="34">
        <f t="shared" si="1"/>
        <v>10000</v>
      </c>
      <c r="K101" s="35">
        <f t="shared" si="2"/>
        <v>115</v>
      </c>
    </row>
    <row r="102" spans="1:11" x14ac:dyDescent="0.3">
      <c r="A102" s="32">
        <v>101</v>
      </c>
      <c r="B102" s="32" t="s">
        <v>108</v>
      </c>
      <c r="C102" s="32" t="s">
        <v>125</v>
      </c>
      <c r="D102" s="33">
        <v>60001</v>
      </c>
      <c r="E102" s="33">
        <v>75000</v>
      </c>
      <c r="F102" s="33">
        <v>1025</v>
      </c>
      <c r="G102" s="32" t="s">
        <v>82</v>
      </c>
      <c r="H102" s="32" t="s">
        <v>85</v>
      </c>
      <c r="I102" s="34">
        <f t="shared" si="1"/>
        <v>10000.166666666666</v>
      </c>
      <c r="J102" s="34">
        <f t="shared" si="1"/>
        <v>12500</v>
      </c>
      <c r="K102" s="35">
        <f t="shared" si="2"/>
        <v>171</v>
      </c>
    </row>
    <row r="103" spans="1:11" x14ac:dyDescent="0.3">
      <c r="A103" s="32">
        <v>102</v>
      </c>
      <c r="B103" s="32" t="s">
        <v>108</v>
      </c>
      <c r="C103" s="32" t="s">
        <v>125</v>
      </c>
      <c r="D103" s="33">
        <v>75001</v>
      </c>
      <c r="E103" s="33">
        <v>1000000000</v>
      </c>
      <c r="F103" s="33">
        <v>1250</v>
      </c>
      <c r="G103" s="32" t="s">
        <v>82</v>
      </c>
      <c r="H103" s="32" t="s">
        <v>85</v>
      </c>
      <c r="I103" s="34">
        <f t="shared" si="1"/>
        <v>12500.166666666666</v>
      </c>
      <c r="J103" s="34">
        <f t="shared" si="1"/>
        <v>166666666.66666666</v>
      </c>
      <c r="K103" s="35">
        <f t="shared" si="2"/>
        <v>208</v>
      </c>
    </row>
    <row r="104" spans="1:11" x14ac:dyDescent="0.3">
      <c r="A104" s="32">
        <v>103</v>
      </c>
      <c r="B104" s="32" t="s">
        <v>80</v>
      </c>
      <c r="C104" s="32" t="s">
        <v>126</v>
      </c>
      <c r="D104" s="33">
        <v>1</v>
      </c>
      <c r="E104" s="33">
        <v>15000</v>
      </c>
      <c r="F104" s="33">
        <v>0</v>
      </c>
      <c r="G104" s="32" t="s">
        <v>82</v>
      </c>
      <c r="H104" s="32" t="s">
        <v>85</v>
      </c>
    </row>
    <row r="105" spans="1:11" x14ac:dyDescent="0.3">
      <c r="A105" s="32">
        <v>104</v>
      </c>
      <c r="B105" s="32" t="s">
        <v>80</v>
      </c>
      <c r="C105" s="32" t="s">
        <v>126</v>
      </c>
      <c r="D105" s="33">
        <v>15001</v>
      </c>
      <c r="E105" s="33">
        <v>20000</v>
      </c>
      <c r="F105" s="33">
        <v>150</v>
      </c>
      <c r="G105" s="32" t="s">
        <v>82</v>
      </c>
      <c r="H105" s="32" t="s">
        <v>85</v>
      </c>
    </row>
    <row r="106" spans="1:11" x14ac:dyDescent="0.3">
      <c r="A106" s="32">
        <v>105</v>
      </c>
      <c r="B106" s="32" t="s">
        <v>80</v>
      </c>
      <c r="C106" s="32" t="s">
        <v>126</v>
      </c>
      <c r="D106" s="33">
        <v>20001</v>
      </c>
      <c r="E106" s="33">
        <v>1000000000</v>
      </c>
      <c r="F106" s="33">
        <v>200</v>
      </c>
      <c r="G106" s="32" t="s">
        <v>82</v>
      </c>
      <c r="H106" s="32" t="s">
        <v>85</v>
      </c>
    </row>
    <row r="107" spans="1:11" x14ac:dyDescent="0.3">
      <c r="A107" s="32">
        <v>106</v>
      </c>
      <c r="B107" s="32" t="s">
        <v>127</v>
      </c>
      <c r="C107" s="32" t="s">
        <v>128</v>
      </c>
      <c r="D107" s="33">
        <v>1</v>
      </c>
      <c r="E107" s="33">
        <v>7500</v>
      </c>
      <c r="F107" s="33">
        <v>0</v>
      </c>
      <c r="G107" s="32" t="s">
        <v>82</v>
      </c>
      <c r="H107" s="32" t="s">
        <v>85</v>
      </c>
    </row>
    <row r="108" spans="1:11" x14ac:dyDescent="0.3">
      <c r="A108" s="32">
        <v>107</v>
      </c>
      <c r="B108" s="32" t="s">
        <v>127</v>
      </c>
      <c r="C108" s="32" t="s">
        <v>128</v>
      </c>
      <c r="D108" s="33">
        <v>7501</v>
      </c>
      <c r="E108" s="33">
        <v>15000</v>
      </c>
      <c r="F108" s="33">
        <v>150</v>
      </c>
      <c r="G108" s="32" t="s">
        <v>82</v>
      </c>
      <c r="H108" s="32" t="s">
        <v>85</v>
      </c>
    </row>
    <row r="109" spans="1:11" x14ac:dyDescent="0.3">
      <c r="A109" s="32">
        <v>108</v>
      </c>
      <c r="B109" s="32" t="s">
        <v>127</v>
      </c>
      <c r="C109" s="32" t="s">
        <v>128</v>
      </c>
      <c r="D109" s="33">
        <v>15001</v>
      </c>
      <c r="E109" s="33">
        <v>1000000000</v>
      </c>
      <c r="F109" s="33">
        <v>208</v>
      </c>
      <c r="G109" s="32" t="s">
        <v>82</v>
      </c>
      <c r="H109" s="32" t="s">
        <v>85</v>
      </c>
    </row>
    <row r="110" spans="1:11" x14ac:dyDescent="0.3">
      <c r="A110" s="32">
        <v>109</v>
      </c>
      <c r="B110" s="32" t="s">
        <v>80</v>
      </c>
      <c r="C110" s="32" t="s">
        <v>129</v>
      </c>
      <c r="D110" s="33">
        <v>1</v>
      </c>
      <c r="E110" s="33">
        <v>10000000</v>
      </c>
      <c r="F110" s="33">
        <v>0</v>
      </c>
      <c r="G110" s="32" t="s">
        <v>82</v>
      </c>
      <c r="H110" s="32" t="s">
        <v>83</v>
      </c>
    </row>
    <row r="111" spans="1:11" x14ac:dyDescent="0.3">
      <c r="A111" s="32">
        <v>110</v>
      </c>
      <c r="B111" s="32" t="s">
        <v>80</v>
      </c>
      <c r="C111" s="32" t="s">
        <v>130</v>
      </c>
      <c r="D111" s="33">
        <v>1</v>
      </c>
      <c r="E111" s="33">
        <v>10000000</v>
      </c>
      <c r="F111" s="33">
        <v>0</v>
      </c>
      <c r="G111" s="32" t="s">
        <v>82</v>
      </c>
      <c r="H111" s="32" t="s">
        <v>83</v>
      </c>
    </row>
    <row r="112" spans="1:11" x14ac:dyDescent="0.3">
      <c r="A112" s="32">
        <v>111</v>
      </c>
      <c r="B112" s="32" t="s">
        <v>80</v>
      </c>
      <c r="C112" s="32" t="s">
        <v>131</v>
      </c>
      <c r="D112" s="33">
        <v>1</v>
      </c>
      <c r="E112" s="33">
        <v>8500</v>
      </c>
      <c r="F112" s="33">
        <v>0</v>
      </c>
      <c r="G112" s="32" t="s">
        <v>82</v>
      </c>
      <c r="H112" s="32" t="s">
        <v>85</v>
      </c>
    </row>
    <row r="113" spans="1:8" x14ac:dyDescent="0.3">
      <c r="A113" s="32">
        <v>112</v>
      </c>
      <c r="B113" s="32" t="s">
        <v>80</v>
      </c>
      <c r="C113" s="32" t="s">
        <v>131</v>
      </c>
      <c r="D113" s="33">
        <v>8501</v>
      </c>
      <c r="E113" s="33">
        <v>10000</v>
      </c>
      <c r="F113" s="33">
        <v>0</v>
      </c>
      <c r="G113" s="32" t="s">
        <v>82</v>
      </c>
      <c r="H113" s="32" t="s">
        <v>85</v>
      </c>
    </row>
    <row r="114" spans="1:8" x14ac:dyDescent="0.3">
      <c r="A114" s="32">
        <v>113</v>
      </c>
      <c r="B114" s="32" t="s">
        <v>80</v>
      </c>
      <c r="C114" s="32" t="s">
        <v>131</v>
      </c>
      <c r="D114" s="33">
        <v>10001</v>
      </c>
      <c r="E114" s="33">
        <v>15000</v>
      </c>
      <c r="F114" s="33">
        <v>110</v>
      </c>
      <c r="G114" s="32" t="s">
        <v>82</v>
      </c>
      <c r="H114" s="32" t="s">
        <v>85</v>
      </c>
    </row>
    <row r="115" spans="1:8" x14ac:dyDescent="0.3">
      <c r="A115" s="32">
        <v>114</v>
      </c>
      <c r="B115" s="32" t="s">
        <v>80</v>
      </c>
      <c r="C115" s="32" t="s">
        <v>131</v>
      </c>
      <c r="D115" s="33">
        <v>15001</v>
      </c>
      <c r="E115" s="33">
        <v>25000</v>
      </c>
      <c r="F115" s="33">
        <v>130</v>
      </c>
      <c r="G115" s="32" t="s">
        <v>82</v>
      </c>
      <c r="H115" s="32" t="s">
        <v>85</v>
      </c>
    </row>
    <row r="116" spans="1:8" x14ac:dyDescent="0.3">
      <c r="A116" s="32">
        <v>115</v>
      </c>
      <c r="B116" s="32" t="s">
        <v>80</v>
      </c>
      <c r="C116" s="32" t="s">
        <v>131</v>
      </c>
      <c r="D116" s="33">
        <v>25001</v>
      </c>
      <c r="E116" s="33">
        <v>40000</v>
      </c>
      <c r="F116" s="33">
        <v>150</v>
      </c>
      <c r="G116" s="32" t="s">
        <v>82</v>
      </c>
      <c r="H116" s="32" t="s">
        <v>85</v>
      </c>
    </row>
    <row r="117" spans="1:8" x14ac:dyDescent="0.3">
      <c r="A117" s="32">
        <v>116</v>
      </c>
      <c r="B117" s="32" t="s">
        <v>80</v>
      </c>
      <c r="C117" s="32" t="s">
        <v>131</v>
      </c>
      <c r="D117" s="33">
        <v>40001</v>
      </c>
      <c r="E117" s="33">
        <v>1000000000</v>
      </c>
      <c r="F117" s="33">
        <v>200</v>
      </c>
      <c r="G117" s="32" t="s">
        <v>82</v>
      </c>
      <c r="H117" s="32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4064-5620-4940-9725-6B5EE3066C30}">
  <dimension ref="A1:J41"/>
  <sheetViews>
    <sheetView tabSelected="1" workbookViewId="0">
      <selection activeCell="C21" sqref="C21"/>
    </sheetView>
  </sheetViews>
  <sheetFormatPr defaultRowHeight="14.4" x14ac:dyDescent="0.3"/>
  <cols>
    <col min="1" max="1" width="5.6640625" bestFit="1" customWidth="1"/>
    <col min="2" max="2" width="30" bestFit="1" customWidth="1"/>
    <col min="3" max="3" width="20.33203125" bestFit="1" customWidth="1"/>
    <col min="4" max="4" width="20.6640625" bestFit="1" customWidth="1"/>
    <col min="5" max="5" width="22.33203125" bestFit="1" customWidth="1"/>
    <col min="6" max="6" width="15" bestFit="1" customWidth="1"/>
  </cols>
  <sheetData>
    <row r="1" spans="1:10" x14ac:dyDescent="0.3">
      <c r="A1" s="36" t="s">
        <v>73</v>
      </c>
      <c r="B1" s="36" t="s">
        <v>8</v>
      </c>
      <c r="C1" s="36" t="s">
        <v>132</v>
      </c>
      <c r="D1" s="36" t="s">
        <v>133</v>
      </c>
      <c r="E1" s="36" t="s">
        <v>134</v>
      </c>
      <c r="F1" s="36" t="s">
        <v>135</v>
      </c>
    </row>
    <row r="2" spans="1:10" x14ac:dyDescent="0.3">
      <c r="A2" s="37">
        <v>1</v>
      </c>
      <c r="B2" s="37" t="s">
        <v>84</v>
      </c>
      <c r="C2" s="37">
        <v>70</v>
      </c>
      <c r="D2" s="37">
        <v>30</v>
      </c>
      <c r="E2" s="37" t="s">
        <v>136</v>
      </c>
      <c r="F2" s="37" t="s">
        <v>85</v>
      </c>
    </row>
    <row r="3" spans="1:10" x14ac:dyDescent="0.3">
      <c r="A3" s="37">
        <v>2</v>
      </c>
      <c r="B3" s="37" t="s">
        <v>91</v>
      </c>
      <c r="C3" s="37">
        <v>20</v>
      </c>
      <c r="D3" s="37">
        <v>5</v>
      </c>
      <c r="E3" s="37" t="s">
        <v>10</v>
      </c>
      <c r="F3" s="37" t="s">
        <v>85</v>
      </c>
    </row>
    <row r="4" spans="1:10" x14ac:dyDescent="0.3">
      <c r="A4" s="37">
        <v>3</v>
      </c>
      <c r="B4" s="37" t="s">
        <v>92</v>
      </c>
      <c r="C4" s="37">
        <v>45</v>
      </c>
      <c r="D4" s="37">
        <v>15</v>
      </c>
      <c r="E4" s="37" t="s">
        <v>137</v>
      </c>
      <c r="F4" s="37" t="s">
        <v>85</v>
      </c>
      <c r="G4">
        <f>C4*2</f>
        <v>90</v>
      </c>
      <c r="H4">
        <f>D4*2</f>
        <v>30</v>
      </c>
      <c r="I4" s="38">
        <f>G4/12</f>
        <v>7.5</v>
      </c>
      <c r="J4" s="38">
        <f>H4/12</f>
        <v>2.5</v>
      </c>
    </row>
    <row r="5" spans="1:10" x14ac:dyDescent="0.3">
      <c r="A5" s="37">
        <v>4</v>
      </c>
      <c r="B5" s="37" t="s">
        <v>95</v>
      </c>
      <c r="C5" s="37">
        <v>2.25</v>
      </c>
      <c r="D5" s="37">
        <v>0.75</v>
      </c>
      <c r="E5" s="37" t="s">
        <v>137</v>
      </c>
      <c r="F5" s="37" t="s">
        <v>85</v>
      </c>
      <c r="G5">
        <f t="shared" ref="G5:H7" si="0">C5*2</f>
        <v>4.5</v>
      </c>
      <c r="H5">
        <f t="shared" si="0"/>
        <v>1.5</v>
      </c>
      <c r="I5" s="38">
        <f t="shared" ref="I5:J7" si="1">G5/12</f>
        <v>0.375</v>
      </c>
      <c r="J5" s="38">
        <f t="shared" si="1"/>
        <v>0.125</v>
      </c>
    </row>
    <row r="6" spans="1:10" x14ac:dyDescent="0.3">
      <c r="A6" s="37">
        <v>5</v>
      </c>
      <c r="B6" s="37" t="s">
        <v>96</v>
      </c>
      <c r="C6" s="37">
        <v>180</v>
      </c>
      <c r="D6" s="37">
        <v>60</v>
      </c>
      <c r="E6" s="37" t="s">
        <v>137</v>
      </c>
      <c r="F6" s="37" t="s">
        <v>85</v>
      </c>
      <c r="G6">
        <f t="shared" si="0"/>
        <v>360</v>
      </c>
      <c r="H6">
        <f t="shared" si="0"/>
        <v>120</v>
      </c>
      <c r="I6" s="38">
        <f t="shared" si="1"/>
        <v>30</v>
      </c>
      <c r="J6" s="38">
        <f t="shared" si="1"/>
        <v>10</v>
      </c>
    </row>
    <row r="7" spans="1:10" x14ac:dyDescent="0.3">
      <c r="A7" s="37">
        <v>6</v>
      </c>
      <c r="B7" s="37" t="s">
        <v>98</v>
      </c>
      <c r="C7" s="37">
        <v>12</v>
      </c>
      <c r="D7" s="37">
        <v>6</v>
      </c>
      <c r="E7" s="37" t="s">
        <v>137</v>
      </c>
      <c r="F7" s="37" t="s">
        <v>85</v>
      </c>
      <c r="G7">
        <f t="shared" si="0"/>
        <v>24</v>
      </c>
      <c r="H7">
        <f t="shared" si="0"/>
        <v>12</v>
      </c>
      <c r="I7" s="38">
        <f t="shared" si="1"/>
        <v>2</v>
      </c>
      <c r="J7" s="38">
        <f t="shared" si="1"/>
        <v>1</v>
      </c>
    </row>
    <row r="8" spans="1:10" x14ac:dyDescent="0.3">
      <c r="A8" s="37">
        <v>7</v>
      </c>
      <c r="B8" s="37" t="s">
        <v>99</v>
      </c>
      <c r="C8" s="37">
        <v>68</v>
      </c>
      <c r="D8" s="37">
        <v>34</v>
      </c>
      <c r="E8" s="37" t="s">
        <v>10</v>
      </c>
      <c r="F8" s="37" t="s">
        <v>85</v>
      </c>
    </row>
    <row r="9" spans="1:10" x14ac:dyDescent="0.3">
      <c r="A9" s="37">
        <v>8</v>
      </c>
      <c r="B9" s="37" t="s">
        <v>103</v>
      </c>
      <c r="C9" s="37">
        <v>40</v>
      </c>
      <c r="D9" s="37">
        <v>20</v>
      </c>
      <c r="E9" s="37" t="s">
        <v>136</v>
      </c>
      <c r="F9" s="37" t="s">
        <v>85</v>
      </c>
    </row>
    <row r="10" spans="1:10" x14ac:dyDescent="0.3">
      <c r="A10" s="37">
        <v>9</v>
      </c>
      <c r="B10" s="37" t="s">
        <v>104</v>
      </c>
      <c r="C10" s="37">
        <v>50</v>
      </c>
      <c r="D10" s="37">
        <v>50</v>
      </c>
      <c r="E10" s="37" t="s">
        <v>10</v>
      </c>
      <c r="F10" s="37" t="s">
        <v>85</v>
      </c>
    </row>
    <row r="11" spans="1:10" x14ac:dyDescent="0.3">
      <c r="A11" s="37">
        <v>10</v>
      </c>
      <c r="B11" s="37" t="s">
        <v>109</v>
      </c>
      <c r="C11" s="37">
        <v>30</v>
      </c>
      <c r="D11" s="37">
        <v>10</v>
      </c>
      <c r="E11" s="37" t="s">
        <v>137</v>
      </c>
      <c r="F11" s="37" t="s">
        <v>85</v>
      </c>
      <c r="G11">
        <f t="shared" ref="G11:H13" si="2">C11*2</f>
        <v>60</v>
      </c>
      <c r="H11">
        <f t="shared" si="2"/>
        <v>20</v>
      </c>
      <c r="I11" s="38">
        <f t="shared" ref="I11:J13" si="3">G11/12</f>
        <v>5</v>
      </c>
      <c r="J11" s="38">
        <f t="shared" si="3"/>
        <v>1.6666666666666667</v>
      </c>
    </row>
    <row r="12" spans="1:10" x14ac:dyDescent="0.3">
      <c r="A12" s="37">
        <v>11</v>
      </c>
      <c r="B12" s="37" t="s">
        <v>110</v>
      </c>
      <c r="C12" s="37">
        <v>36</v>
      </c>
      <c r="D12" s="37">
        <v>12</v>
      </c>
      <c r="E12" s="37" t="s">
        <v>137</v>
      </c>
      <c r="F12" s="37" t="s">
        <v>85</v>
      </c>
      <c r="G12">
        <f t="shared" si="2"/>
        <v>72</v>
      </c>
      <c r="H12">
        <f t="shared" si="2"/>
        <v>24</v>
      </c>
      <c r="I12" s="38">
        <f t="shared" si="3"/>
        <v>6</v>
      </c>
      <c r="J12" s="38">
        <f t="shared" si="3"/>
        <v>2</v>
      </c>
    </row>
    <row r="13" spans="1:10" x14ac:dyDescent="0.3">
      <c r="A13" s="37">
        <v>12</v>
      </c>
      <c r="B13" s="37" t="s">
        <v>118</v>
      </c>
      <c r="C13" s="37">
        <v>20</v>
      </c>
      <c r="D13" s="37">
        <v>10</v>
      </c>
      <c r="E13" s="37" t="s">
        <v>137</v>
      </c>
      <c r="F13" s="37" t="s">
        <v>85</v>
      </c>
      <c r="G13">
        <f t="shared" si="2"/>
        <v>40</v>
      </c>
      <c r="H13">
        <f t="shared" si="2"/>
        <v>20</v>
      </c>
      <c r="I13" s="38">
        <f t="shared" si="3"/>
        <v>3.3333333333333335</v>
      </c>
      <c r="J13" s="38">
        <f t="shared" si="3"/>
        <v>1.6666666666666667</v>
      </c>
    </row>
    <row r="14" spans="1:10" x14ac:dyDescent="0.3">
      <c r="A14" s="37">
        <v>13</v>
      </c>
      <c r="B14" s="37" t="s">
        <v>122</v>
      </c>
      <c r="C14" s="37">
        <v>20</v>
      </c>
      <c r="D14" s="37">
        <v>5</v>
      </c>
      <c r="E14" s="37" t="s">
        <v>10</v>
      </c>
      <c r="F14" s="37" t="s">
        <v>85</v>
      </c>
    </row>
    <row r="15" spans="1:10" x14ac:dyDescent="0.3">
      <c r="A15" s="37">
        <v>14</v>
      </c>
      <c r="B15" s="37" t="s">
        <v>125</v>
      </c>
      <c r="C15" s="37">
        <v>40</v>
      </c>
      <c r="D15" s="37">
        <v>20</v>
      </c>
      <c r="E15" s="37" t="s">
        <v>136</v>
      </c>
      <c r="F15" s="37" t="s">
        <v>85</v>
      </c>
    </row>
    <row r="16" spans="1:10" x14ac:dyDescent="0.3">
      <c r="A16" s="37">
        <v>15</v>
      </c>
      <c r="B16" s="37" t="s">
        <v>126</v>
      </c>
      <c r="C16" s="37">
        <v>5</v>
      </c>
      <c r="D16" s="37">
        <v>2</v>
      </c>
      <c r="E16" s="37" t="s">
        <v>136</v>
      </c>
      <c r="F16" s="37" t="s">
        <v>85</v>
      </c>
    </row>
    <row r="17" spans="1:10" x14ac:dyDescent="0.3">
      <c r="A17" s="37">
        <v>16</v>
      </c>
      <c r="B17" s="37" t="s">
        <v>131</v>
      </c>
      <c r="C17" s="37">
        <v>15</v>
      </c>
      <c r="D17" s="37">
        <v>3</v>
      </c>
      <c r="E17" s="37" t="s">
        <v>137</v>
      </c>
      <c r="F17" s="37" t="s">
        <v>85</v>
      </c>
      <c r="G17">
        <f>C17*2</f>
        <v>30</v>
      </c>
      <c r="H17">
        <f>D17*2</f>
        <v>6</v>
      </c>
      <c r="I17" s="38">
        <f>G17/12</f>
        <v>2.5</v>
      </c>
      <c r="J17" s="38">
        <f>H17/12</f>
        <v>0.5</v>
      </c>
    </row>
    <row r="18" spans="1:10" x14ac:dyDescent="0.3">
      <c r="A18" s="37">
        <v>17</v>
      </c>
      <c r="B18" s="37" t="s">
        <v>100</v>
      </c>
      <c r="C18" s="37">
        <v>0</v>
      </c>
      <c r="D18" s="37">
        <v>0</v>
      </c>
      <c r="E18" s="37" t="s">
        <v>83</v>
      </c>
      <c r="F18" s="37" t="s">
        <v>83</v>
      </c>
    </row>
    <row r="19" spans="1:10" x14ac:dyDescent="0.3">
      <c r="A19" s="37">
        <v>18</v>
      </c>
      <c r="B19" s="37" t="s">
        <v>36</v>
      </c>
      <c r="C19" s="37">
        <v>0</v>
      </c>
      <c r="D19" s="37">
        <v>0</v>
      </c>
      <c r="E19" s="37" t="s">
        <v>83</v>
      </c>
      <c r="F19" s="37" t="s">
        <v>83</v>
      </c>
    </row>
    <row r="20" spans="1:10" x14ac:dyDescent="0.3">
      <c r="A20" s="37">
        <v>19</v>
      </c>
      <c r="B20" s="37" t="s">
        <v>107</v>
      </c>
      <c r="C20" s="37">
        <v>0</v>
      </c>
      <c r="D20" s="37">
        <v>0</v>
      </c>
      <c r="E20" s="37" t="s">
        <v>83</v>
      </c>
      <c r="F20" s="37" t="s">
        <v>83</v>
      </c>
    </row>
    <row r="21" spans="1:10" x14ac:dyDescent="0.3">
      <c r="A21" s="37">
        <v>20</v>
      </c>
      <c r="B21" s="37" t="s">
        <v>120</v>
      </c>
      <c r="C21" s="37">
        <v>0</v>
      </c>
      <c r="D21" s="37">
        <v>0</v>
      </c>
      <c r="E21" s="37" t="s">
        <v>83</v>
      </c>
      <c r="F21" s="37" t="s">
        <v>83</v>
      </c>
    </row>
    <row r="22" spans="1:10" x14ac:dyDescent="0.3">
      <c r="A22" s="37">
        <v>21</v>
      </c>
      <c r="B22" s="37" t="s">
        <v>123</v>
      </c>
      <c r="C22" s="37">
        <v>0</v>
      </c>
      <c r="D22" s="37">
        <v>0</v>
      </c>
      <c r="E22" s="37" t="s">
        <v>83</v>
      </c>
      <c r="F22" s="37" t="s">
        <v>83</v>
      </c>
    </row>
    <row r="23" spans="1:10" x14ac:dyDescent="0.3">
      <c r="A23" s="37">
        <v>22</v>
      </c>
      <c r="B23" s="37" t="s">
        <v>129</v>
      </c>
      <c r="C23" s="37">
        <v>0</v>
      </c>
      <c r="D23" s="37">
        <v>0</v>
      </c>
      <c r="E23" s="37" t="s">
        <v>83</v>
      </c>
      <c r="F23" s="37" t="s">
        <v>83</v>
      </c>
    </row>
    <row r="24" spans="1:10" x14ac:dyDescent="0.3">
      <c r="A24" s="37">
        <v>23</v>
      </c>
      <c r="B24" s="37" t="s">
        <v>138</v>
      </c>
      <c r="C24" s="37">
        <v>0</v>
      </c>
      <c r="D24" s="37">
        <v>0</v>
      </c>
      <c r="E24" s="37" t="s">
        <v>83</v>
      </c>
      <c r="F24" s="37" t="s">
        <v>83</v>
      </c>
    </row>
    <row r="25" spans="1:10" x14ac:dyDescent="0.3">
      <c r="A25" s="37">
        <v>24</v>
      </c>
      <c r="B25" s="37" t="s">
        <v>139</v>
      </c>
      <c r="C25" s="37">
        <v>0</v>
      </c>
      <c r="D25" s="37">
        <v>0</v>
      </c>
      <c r="E25" s="37" t="s">
        <v>83</v>
      </c>
      <c r="F25" s="37" t="s">
        <v>83</v>
      </c>
    </row>
    <row r="26" spans="1:10" x14ac:dyDescent="0.3">
      <c r="A26" s="37">
        <v>25</v>
      </c>
      <c r="B26" s="37" t="s">
        <v>86</v>
      </c>
      <c r="C26" s="37">
        <v>0</v>
      </c>
      <c r="D26" s="37">
        <v>0</v>
      </c>
      <c r="E26" s="37" t="s">
        <v>83</v>
      </c>
      <c r="F26" s="37" t="s">
        <v>83</v>
      </c>
    </row>
    <row r="27" spans="1:10" x14ac:dyDescent="0.3">
      <c r="A27" s="37">
        <v>26</v>
      </c>
      <c r="B27" s="37" t="s">
        <v>87</v>
      </c>
      <c r="C27" s="37">
        <v>0</v>
      </c>
      <c r="D27" s="37">
        <v>0</v>
      </c>
      <c r="E27" s="37" t="s">
        <v>83</v>
      </c>
      <c r="F27" s="37" t="s">
        <v>83</v>
      </c>
    </row>
    <row r="28" spans="1:10" x14ac:dyDescent="0.3">
      <c r="A28" s="37">
        <v>27</v>
      </c>
      <c r="B28" s="37" t="s">
        <v>89</v>
      </c>
      <c r="C28" s="37">
        <v>0</v>
      </c>
      <c r="D28" s="37">
        <v>0</v>
      </c>
      <c r="E28" s="37" t="s">
        <v>83</v>
      </c>
      <c r="F28" s="37" t="s">
        <v>83</v>
      </c>
    </row>
    <row r="29" spans="1:10" x14ac:dyDescent="0.3">
      <c r="A29" s="37">
        <v>28</v>
      </c>
      <c r="B29" s="37" t="s">
        <v>90</v>
      </c>
      <c r="C29" s="37">
        <v>0</v>
      </c>
      <c r="D29" s="37">
        <v>0</v>
      </c>
      <c r="E29" s="37" t="s">
        <v>83</v>
      </c>
      <c r="F29" s="37" t="s">
        <v>83</v>
      </c>
    </row>
    <row r="30" spans="1:10" x14ac:dyDescent="0.3">
      <c r="A30" s="37">
        <v>29</v>
      </c>
      <c r="B30" s="37" t="s">
        <v>93</v>
      </c>
      <c r="C30" s="37">
        <v>0</v>
      </c>
      <c r="D30" s="37">
        <v>0</v>
      </c>
      <c r="E30" s="37" t="s">
        <v>83</v>
      </c>
      <c r="F30" s="37" t="s">
        <v>83</v>
      </c>
    </row>
    <row r="31" spans="1:10" x14ac:dyDescent="0.3">
      <c r="A31" s="37">
        <v>30</v>
      </c>
      <c r="B31" s="37" t="s">
        <v>94</v>
      </c>
      <c r="C31" s="37">
        <v>0</v>
      </c>
      <c r="D31" s="37">
        <v>0</v>
      </c>
      <c r="E31" s="37" t="s">
        <v>83</v>
      </c>
      <c r="F31" s="37" t="s">
        <v>83</v>
      </c>
    </row>
    <row r="32" spans="1:10" x14ac:dyDescent="0.3">
      <c r="A32" s="37">
        <v>31</v>
      </c>
      <c r="B32" s="37" t="s">
        <v>101</v>
      </c>
      <c r="C32" s="37">
        <v>0</v>
      </c>
      <c r="D32" s="37">
        <v>0</v>
      </c>
      <c r="E32" s="37" t="s">
        <v>83</v>
      </c>
      <c r="F32" s="37" t="s">
        <v>83</v>
      </c>
    </row>
    <row r="33" spans="1:6" x14ac:dyDescent="0.3">
      <c r="A33" s="37">
        <v>32</v>
      </c>
      <c r="B33" s="37" t="s">
        <v>106</v>
      </c>
      <c r="C33" s="37">
        <v>0</v>
      </c>
      <c r="D33" s="37">
        <v>0</v>
      </c>
      <c r="E33" s="37" t="s">
        <v>83</v>
      </c>
      <c r="F33" s="37" t="s">
        <v>83</v>
      </c>
    </row>
    <row r="34" spans="1:6" x14ac:dyDescent="0.3">
      <c r="A34" s="37">
        <v>33</v>
      </c>
      <c r="B34" s="37" t="s">
        <v>113</v>
      </c>
      <c r="C34" s="37">
        <v>0</v>
      </c>
      <c r="D34" s="37">
        <v>0</v>
      </c>
      <c r="E34" s="37" t="s">
        <v>83</v>
      </c>
      <c r="F34" s="37" t="s">
        <v>83</v>
      </c>
    </row>
    <row r="35" spans="1:6" x14ac:dyDescent="0.3">
      <c r="A35" s="37">
        <v>34</v>
      </c>
      <c r="B35" s="37" t="s">
        <v>114</v>
      </c>
      <c r="C35" s="37">
        <v>0</v>
      </c>
      <c r="D35" s="37">
        <v>0</v>
      </c>
      <c r="E35" s="37" t="s">
        <v>83</v>
      </c>
      <c r="F35" s="37" t="s">
        <v>83</v>
      </c>
    </row>
    <row r="36" spans="1:6" x14ac:dyDescent="0.3">
      <c r="A36" s="37">
        <v>35</v>
      </c>
      <c r="B36" s="37" t="s">
        <v>116</v>
      </c>
      <c r="C36" s="37">
        <v>0</v>
      </c>
      <c r="D36" s="37">
        <v>0</v>
      </c>
      <c r="E36" s="37" t="s">
        <v>83</v>
      </c>
      <c r="F36" s="37" t="s">
        <v>83</v>
      </c>
    </row>
    <row r="37" spans="1:6" x14ac:dyDescent="0.3">
      <c r="A37" s="37">
        <v>36</v>
      </c>
      <c r="B37" s="37" t="s">
        <v>117</v>
      </c>
      <c r="C37" s="37">
        <v>0</v>
      </c>
      <c r="D37" s="37">
        <v>0</v>
      </c>
      <c r="E37" s="37" t="s">
        <v>83</v>
      </c>
      <c r="F37" s="37" t="s">
        <v>83</v>
      </c>
    </row>
    <row r="38" spans="1:6" x14ac:dyDescent="0.3">
      <c r="A38" s="37">
        <v>37</v>
      </c>
      <c r="B38" s="37" t="s">
        <v>140</v>
      </c>
      <c r="C38" s="37">
        <v>0</v>
      </c>
      <c r="D38" s="37">
        <v>0</v>
      </c>
      <c r="E38" s="37" t="s">
        <v>83</v>
      </c>
      <c r="F38" s="37" t="s">
        <v>83</v>
      </c>
    </row>
    <row r="39" spans="1:6" x14ac:dyDescent="0.3">
      <c r="A39" s="37">
        <v>38</v>
      </c>
      <c r="B39" s="37" t="s">
        <v>124</v>
      </c>
      <c r="C39" s="37">
        <v>0</v>
      </c>
      <c r="D39" s="37">
        <v>0</v>
      </c>
      <c r="E39" s="37" t="s">
        <v>83</v>
      </c>
      <c r="F39" s="37" t="s">
        <v>83</v>
      </c>
    </row>
    <row r="40" spans="1:6" x14ac:dyDescent="0.3">
      <c r="A40" s="37">
        <v>39</v>
      </c>
      <c r="B40" s="37" t="s">
        <v>128</v>
      </c>
      <c r="C40" s="37">
        <v>0</v>
      </c>
      <c r="D40" s="37">
        <v>0</v>
      </c>
      <c r="E40" s="37" t="s">
        <v>83</v>
      </c>
      <c r="F40" s="37" t="s">
        <v>83</v>
      </c>
    </row>
    <row r="41" spans="1:6" x14ac:dyDescent="0.3">
      <c r="A41" s="37">
        <v>40</v>
      </c>
      <c r="B41" s="37" t="s">
        <v>130</v>
      </c>
      <c r="C41" s="37">
        <v>0</v>
      </c>
      <c r="D41" s="37">
        <v>0</v>
      </c>
      <c r="E41" s="37" t="s">
        <v>83</v>
      </c>
      <c r="F41" s="3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wages</vt:lpstr>
      <vt:lpstr>pt</vt:lpstr>
      <vt:lpstr>lwf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tak</dc:creator>
  <cp:lastModifiedBy>Tushar tak</cp:lastModifiedBy>
  <dcterms:created xsi:type="dcterms:W3CDTF">2026-03-21T05:26:40Z</dcterms:created>
  <dcterms:modified xsi:type="dcterms:W3CDTF">2026-03-21T05:29:13Z</dcterms:modified>
</cp:coreProperties>
</file>